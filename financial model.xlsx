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C\Desktop\CODING &amp; DESIGN JOURNEY\PROTFOLIO PROJECTS\"/>
    </mc:Choice>
  </mc:AlternateContent>
  <xr:revisionPtr revIDLastSave="0" documentId="13_ncr:1_{B5E881E8-8200-491C-A120-962767C04D94}" xr6:coauthVersionLast="47" xr6:coauthVersionMax="47" xr10:uidLastSave="{00000000-0000-0000-0000-000000000000}"/>
  <bookViews>
    <workbookView xWindow="-110" yWindow="-110" windowWidth="19420" windowHeight="11020" activeTab="1" xr2:uid="{2C9358CA-1260-41AF-B52E-573DE70A524B}"/>
  </bookViews>
  <sheets>
    <sheet name="Business Case" sheetId="1" r:id="rId1"/>
    <sheet name="Financial Statement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3" l="1"/>
  <c r="F50" i="3"/>
  <c r="G50" i="3"/>
  <c r="H50" i="3"/>
  <c r="D54" i="3"/>
  <c r="D50" i="3"/>
  <c r="D48" i="3"/>
  <c r="D47" i="3"/>
  <c r="C104" i="3"/>
  <c r="D101" i="3" s="1"/>
  <c r="D96" i="3"/>
  <c r="E11" i="3" l="1"/>
  <c r="F11" i="3"/>
  <c r="G11" i="3"/>
  <c r="H11" i="3"/>
  <c r="D11" i="3"/>
  <c r="C82" i="3"/>
  <c r="E78" i="3"/>
  <c r="E91" i="3" l="1"/>
  <c r="C98" i="3"/>
  <c r="D95" i="3" s="1"/>
  <c r="F78" i="3"/>
  <c r="E96" i="3"/>
  <c r="E47" i="3"/>
  <c r="E48" i="3" s="1"/>
  <c r="D91" i="3"/>
  <c r="C91" i="3"/>
  <c r="H91" i="3"/>
  <c r="G91" i="3"/>
  <c r="F91" i="3"/>
  <c r="G78" i="3" l="1"/>
  <c r="F96" i="3"/>
  <c r="F47" i="3"/>
  <c r="F48" i="3" s="1"/>
  <c r="C21" i="3"/>
  <c r="C23" i="3" s="1"/>
  <c r="H36" i="4"/>
  <c r="H35" i="4"/>
  <c r="C33" i="3"/>
  <c r="C26" i="3"/>
  <c r="C29" i="3" s="1"/>
  <c r="H78" i="3" l="1"/>
  <c r="G47" i="3"/>
  <c r="G48" i="3" s="1"/>
  <c r="G96" i="3"/>
  <c r="C35" i="3"/>
  <c r="C37" i="3" s="1"/>
  <c r="C7" i="3"/>
  <c r="D5" i="3"/>
  <c r="D68" i="3" s="1"/>
  <c r="D19" i="3" s="1"/>
  <c r="C69" i="3"/>
  <c r="C68" i="3"/>
  <c r="D63" i="3"/>
  <c r="D62" i="3"/>
  <c r="E62" i="3" s="1"/>
  <c r="F62" i="3" s="1"/>
  <c r="G62" i="3" s="1"/>
  <c r="H62" i="3" s="1"/>
  <c r="D17" i="3"/>
  <c r="E17" i="3" s="1"/>
  <c r="F17" i="3" s="1"/>
  <c r="G17" i="3" s="1"/>
  <c r="H17" i="3" s="1"/>
  <c r="D4" i="3"/>
  <c r="E4" i="3" s="1"/>
  <c r="F4" i="3" s="1"/>
  <c r="G4" i="3" s="1"/>
  <c r="H4" i="3" s="1"/>
  <c r="C85" i="3" a="1"/>
  <c r="G88" i="3" s="1"/>
  <c r="H47" i="3" l="1"/>
  <c r="H48" i="3" s="1"/>
  <c r="H96" i="3"/>
  <c r="D42" i="3"/>
  <c r="C10" i="3"/>
  <c r="C12" i="3" s="1"/>
  <c r="D8" i="3"/>
  <c r="D6" i="3"/>
  <c r="D69" i="3" s="1"/>
  <c r="E5" i="3"/>
  <c r="E68" i="3" s="1"/>
  <c r="E19" i="3" s="1"/>
  <c r="E63" i="3"/>
  <c r="F63" i="3" s="1"/>
  <c r="G63" i="3" s="1"/>
  <c r="H63" i="3" s="1"/>
  <c r="C85" i="3"/>
  <c r="G86" i="3"/>
  <c r="H88" i="3"/>
  <c r="H86" i="3"/>
  <c r="F87" i="3"/>
  <c r="H89" i="3"/>
  <c r="G87" i="3"/>
  <c r="E86" i="3"/>
  <c r="F86" i="3"/>
  <c r="H87" i="3"/>
  <c r="D25" i="3" l="1"/>
  <c r="D20" i="3"/>
  <c r="E42" i="3"/>
  <c r="C13" i="3"/>
  <c r="C14" i="3" s="1"/>
  <c r="E8" i="3"/>
  <c r="E6" i="3"/>
  <c r="E69" i="3" s="1"/>
  <c r="D7" i="3"/>
  <c r="F5" i="3"/>
  <c r="F68" i="3" s="1"/>
  <c r="F19" i="3" s="1"/>
  <c r="H85" i="3"/>
  <c r="H92" i="3" s="1"/>
  <c r="H93" i="3" s="1"/>
  <c r="G85" i="3"/>
  <c r="G92" i="3" s="1"/>
  <c r="G93" i="3" s="1"/>
  <c r="F85" i="3"/>
  <c r="F92" i="3" s="1"/>
  <c r="F93" i="3" s="1"/>
  <c r="E85" i="3"/>
  <c r="E92" i="3" s="1"/>
  <c r="E93" i="3" s="1"/>
  <c r="D85" i="3"/>
  <c r="D92" i="3" s="1"/>
  <c r="D93" i="3" s="1"/>
  <c r="D9" i="3" l="1"/>
  <c r="D41" i="3" s="1"/>
  <c r="D97" i="3"/>
  <c r="D98" i="3" s="1"/>
  <c r="E20" i="3"/>
  <c r="E25" i="3"/>
  <c r="G9" i="3"/>
  <c r="G41" i="3" s="1"/>
  <c r="G97" i="3"/>
  <c r="D43" i="3"/>
  <c r="E43" i="3"/>
  <c r="E9" i="3"/>
  <c r="E41" i="3" s="1"/>
  <c r="E97" i="3"/>
  <c r="F9" i="3"/>
  <c r="F41" i="3" s="1"/>
  <c r="F97" i="3"/>
  <c r="H9" i="3"/>
  <c r="H41" i="3" s="1"/>
  <c r="H97" i="3"/>
  <c r="D44" i="3"/>
  <c r="D26" i="3"/>
  <c r="D29" i="3" s="1"/>
  <c r="F42" i="3"/>
  <c r="E7" i="3"/>
  <c r="E10" i="3" s="1"/>
  <c r="E12" i="3" s="1"/>
  <c r="E13" i="3" s="1"/>
  <c r="E14" i="3" s="1"/>
  <c r="F6" i="3"/>
  <c r="F8" i="3"/>
  <c r="D10" i="3"/>
  <c r="D12" i="3" s="1"/>
  <c r="G5" i="3"/>
  <c r="G68" i="3" s="1"/>
  <c r="G19" i="3" s="1"/>
  <c r="E26" i="3" l="1"/>
  <c r="E29" i="3" s="1"/>
  <c r="E44" i="3"/>
  <c r="E102" i="3"/>
  <c r="E103" i="3"/>
  <c r="E51" i="3" s="1"/>
  <c r="E52" i="3" s="1"/>
  <c r="E40" i="3"/>
  <c r="E45" i="3" s="1"/>
  <c r="E55" i="3" s="1"/>
  <c r="E95" i="3"/>
  <c r="E98" i="3" s="1"/>
  <c r="D22" i="3"/>
  <c r="G42" i="3"/>
  <c r="F7" i="3"/>
  <c r="F10" i="3" s="1"/>
  <c r="F12" i="3" s="1"/>
  <c r="F69" i="3"/>
  <c r="D13" i="3"/>
  <c r="D14" i="3" s="1"/>
  <c r="G6" i="3"/>
  <c r="G8" i="3"/>
  <c r="H5" i="3"/>
  <c r="H68" i="3" s="1"/>
  <c r="H19" i="3" s="1"/>
  <c r="H42" i="3" s="1"/>
  <c r="F95" i="3" l="1"/>
  <c r="F98" i="3" s="1"/>
  <c r="E22" i="3"/>
  <c r="D40" i="3"/>
  <c r="D45" i="3" s="1"/>
  <c r="D102" i="3"/>
  <c r="D104" i="3" s="1"/>
  <c r="D103" i="3"/>
  <c r="D51" i="3" s="1"/>
  <c r="D52" i="3" s="1"/>
  <c r="F25" i="3"/>
  <c r="F20" i="3"/>
  <c r="G7" i="3"/>
  <c r="G10" i="3" s="1"/>
  <c r="G12" i="3" s="1"/>
  <c r="G69" i="3"/>
  <c r="F13" i="3"/>
  <c r="F14" i="3" s="1"/>
  <c r="H6" i="3"/>
  <c r="H8" i="3"/>
  <c r="G95" i="3" l="1"/>
  <c r="G98" i="3" s="1"/>
  <c r="F22" i="3"/>
  <c r="F43" i="3"/>
  <c r="F44" i="3"/>
  <c r="F26" i="3"/>
  <c r="F29" i="3" s="1"/>
  <c r="E101" i="3"/>
  <c r="E104" i="3" s="1"/>
  <c r="D32" i="3"/>
  <c r="D33" i="3" s="1"/>
  <c r="D35" i="3" s="1"/>
  <c r="F40" i="3"/>
  <c r="F45" i="3" s="1"/>
  <c r="F55" i="3" s="1"/>
  <c r="F103" i="3"/>
  <c r="F51" i="3" s="1"/>
  <c r="F52" i="3" s="1"/>
  <c r="F102" i="3"/>
  <c r="D55" i="3"/>
  <c r="D56" i="3" s="1"/>
  <c r="D18" i="3" s="1"/>
  <c r="G25" i="3"/>
  <c r="G20" i="3"/>
  <c r="G43" i="3" s="1"/>
  <c r="H7" i="3"/>
  <c r="H10" i="3" s="1"/>
  <c r="H12" i="3" s="1"/>
  <c r="H13" i="3" s="1"/>
  <c r="H14" i="3" s="1"/>
  <c r="H69" i="3"/>
  <c r="G13" i="3"/>
  <c r="G14" i="3" s="1"/>
  <c r="G103" i="3" l="1"/>
  <c r="G51" i="3" s="1"/>
  <c r="G52" i="3" s="1"/>
  <c r="G40" i="3"/>
  <c r="G45" i="3" s="1"/>
  <c r="G55" i="3" s="1"/>
  <c r="G102" i="3"/>
  <c r="H20" i="3"/>
  <c r="H25" i="3"/>
  <c r="F101" i="3"/>
  <c r="F104" i="3" s="1"/>
  <c r="E32" i="3"/>
  <c r="E33" i="3" s="1"/>
  <c r="E35" i="3" s="1"/>
  <c r="G26" i="3"/>
  <c r="G29" i="3" s="1"/>
  <c r="G44" i="3"/>
  <c r="H95" i="3"/>
  <c r="H98" i="3" s="1"/>
  <c r="H22" i="3" s="1"/>
  <c r="G22" i="3"/>
  <c r="H103" i="3"/>
  <c r="H51" i="3" s="1"/>
  <c r="H52" i="3" s="1"/>
  <c r="H102" i="3"/>
  <c r="H40" i="3"/>
  <c r="H43" i="3"/>
  <c r="E54" i="3"/>
  <c r="E56" i="3" s="1"/>
  <c r="E18" i="3" s="1"/>
  <c r="D21" i="3"/>
  <c r="D23" i="3" s="1"/>
  <c r="D37" i="3" s="1"/>
  <c r="G101" i="3" l="1"/>
  <c r="G104" i="3" s="1"/>
  <c r="F32" i="3"/>
  <c r="F33" i="3" s="1"/>
  <c r="F35" i="3" s="1"/>
  <c r="H26" i="3"/>
  <c r="H29" i="3" s="1"/>
  <c r="H44" i="3"/>
  <c r="H45" i="3" s="1"/>
  <c r="H55" i="3" s="1"/>
  <c r="E21" i="3"/>
  <c r="E23" i="3" s="1"/>
  <c r="E37" i="3" s="1"/>
  <c r="F54" i="3"/>
  <c r="F56" i="3" s="1"/>
  <c r="F18" i="3" s="1"/>
  <c r="G54" i="3" l="1"/>
  <c r="G56" i="3" s="1"/>
  <c r="G18" i="3" s="1"/>
  <c r="F21" i="3"/>
  <c r="F23" i="3" s="1"/>
  <c r="F37" i="3" s="1"/>
  <c r="H101" i="3"/>
  <c r="H104" i="3" s="1"/>
  <c r="H32" i="3" s="1"/>
  <c r="H33" i="3" s="1"/>
  <c r="H35" i="3" s="1"/>
  <c r="G32" i="3"/>
  <c r="G33" i="3" s="1"/>
  <c r="G35" i="3" s="1"/>
  <c r="H54" i="3" l="1"/>
  <c r="H56" i="3" s="1"/>
  <c r="H18" i="3" s="1"/>
  <c r="H21" i="3" s="1"/>
  <c r="H23" i="3" s="1"/>
  <c r="H37" i="3" s="1"/>
  <c r="G21" i="3"/>
  <c r="G23" i="3" s="1"/>
  <c r="G3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<sst xmlns="http://schemas.openxmlformats.org/spreadsheetml/2006/main" count="167" uniqueCount="104">
  <si>
    <t>3 Statement Financial Model</t>
  </si>
  <si>
    <t>X</t>
  </si>
  <si>
    <t>Income Statement</t>
  </si>
  <si>
    <t>Revenue</t>
  </si>
  <si>
    <t>COGS</t>
  </si>
  <si>
    <t>Gross Profit</t>
  </si>
  <si>
    <t>SG&amp;A</t>
  </si>
  <si>
    <t>Depreciation</t>
  </si>
  <si>
    <t>Operating Profit</t>
  </si>
  <si>
    <t>Interest</t>
  </si>
  <si>
    <t>Earnings Before Tax</t>
  </si>
  <si>
    <t>Taxes</t>
  </si>
  <si>
    <t>Net Income</t>
  </si>
  <si>
    <t>Balance Sheet</t>
  </si>
  <si>
    <t>Cash &amp; Cash Equivalents</t>
  </si>
  <si>
    <t>Accounts Receivable</t>
  </si>
  <si>
    <t>Inventory</t>
  </si>
  <si>
    <t>Total Current Assets</t>
  </si>
  <si>
    <t>Property Plant &amp; Equipment (PPE)</t>
  </si>
  <si>
    <t>Total Assets</t>
  </si>
  <si>
    <t>Accounts Payable</t>
  </si>
  <si>
    <t>Total Current Liabilities</t>
  </si>
  <si>
    <t>Long Term Debt</t>
  </si>
  <si>
    <t>Total Liabilities</t>
  </si>
  <si>
    <t>Common Stock</t>
  </si>
  <si>
    <t>Retained Earnings</t>
  </si>
  <si>
    <t>Total Shareholders' Equity</t>
  </si>
  <si>
    <t>Total Liabilities &amp; Equity</t>
  </si>
  <si>
    <t>Balance Sheet Check</t>
  </si>
  <si>
    <t>Cash Flow Statement</t>
  </si>
  <si>
    <t>Change in Accounts Receivable</t>
  </si>
  <si>
    <t>Change in Inventory</t>
  </si>
  <si>
    <t>Change in Accounts Payable</t>
  </si>
  <si>
    <t>Cash Flow from Operating Activities</t>
  </si>
  <si>
    <t>Capital Expenditures</t>
  </si>
  <si>
    <t>Cash Flow from Investing Activities</t>
  </si>
  <si>
    <t>Change in Common Stock</t>
  </si>
  <si>
    <t>Dividends</t>
  </si>
  <si>
    <t>Cash Flow from Financing Activities</t>
  </si>
  <si>
    <t>Beginning of Year Cash Balance</t>
  </si>
  <si>
    <t>Change in Cash</t>
  </si>
  <si>
    <t>End of Year Cash Balance</t>
  </si>
  <si>
    <t>Assumptions</t>
  </si>
  <si>
    <t>Income Statement Assumptions</t>
  </si>
  <si>
    <t>COGS as a % of Rev</t>
  </si>
  <si>
    <t>SG&amp;A as a % of Rev</t>
  </si>
  <si>
    <t>Tax Rate</t>
  </si>
  <si>
    <t xml:space="preserve">COGS </t>
  </si>
  <si>
    <t>Interest Expense</t>
  </si>
  <si>
    <t>Capex</t>
  </si>
  <si>
    <t>Existing Assets Useful Life (years)</t>
  </si>
  <si>
    <t>New Assets Useful Life (years)</t>
  </si>
  <si>
    <t>PP&amp;E 2023 EOP</t>
  </si>
  <si>
    <t>Existing Asset Depreciation</t>
  </si>
  <si>
    <t>New Assets Depreciation</t>
  </si>
  <si>
    <t>Total Depreciation</t>
  </si>
  <si>
    <t>Beginning PPE</t>
  </si>
  <si>
    <t>Ending PPE</t>
  </si>
  <si>
    <t>Retained Earnings Schedule</t>
  </si>
  <si>
    <t>Beginning of Period RE</t>
  </si>
  <si>
    <t>End of Period RE</t>
  </si>
  <si>
    <t>Figures in USD Thousand</t>
  </si>
  <si>
    <t>Income Statement Items</t>
  </si>
  <si>
    <t>Total Revenue</t>
  </si>
  <si>
    <t xml:space="preserve"> $52,000 (65% of Revenue)</t>
  </si>
  <si>
    <t xml:space="preserve"> $16,000 (20% of Revenue)</t>
  </si>
  <si>
    <t xml:space="preserve"> $3,500 (7% on $50,000 Debt)</t>
  </si>
  <si>
    <t>Balance Sheet Items</t>
  </si>
  <si>
    <t>Cash</t>
  </si>
  <si>
    <t xml:space="preserve"> $8,767 (roughly 40 days)</t>
  </si>
  <si>
    <t xml:space="preserve"> $7,123 (roughly 50 days)</t>
  </si>
  <si>
    <t>PP&amp;E (Net)</t>
  </si>
  <si>
    <t xml:space="preserve"> $4,986 (roughly 35 days)</t>
  </si>
  <si>
    <t>Long-term Debt</t>
  </si>
  <si>
    <t>Column1</t>
  </si>
  <si>
    <t>Value (in thousands)</t>
  </si>
  <si>
    <t>5-Year Forecasting Assumptions (2024–2028)</t>
  </si>
  <si>
    <r>
      <t>2024 Growth: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18.0%</t>
    </r>
  </si>
  <si>
    <r>
      <t>2025 Growth: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16.0%</t>
    </r>
  </si>
  <si>
    <r>
      <t>2026 Growth: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14.0%</t>
    </r>
  </si>
  <si>
    <r>
      <t>2027 Growth: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12.0%</t>
    </r>
  </si>
  <si>
    <r>
      <t>2028 Growth: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10.0%</t>
    </r>
  </si>
  <si>
    <t>2. Profitability &amp; Tax</t>
  </si>
  <si>
    <r>
      <t>Tax Rate: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21.0%</t>
    </r>
    <r>
      <rPr>
        <sz val="11"/>
        <color theme="1"/>
        <rFont val="Aptos Narrow"/>
        <family val="2"/>
        <scheme val="minor"/>
      </rPr>
      <t>.</t>
    </r>
  </si>
  <si>
    <t>3. Working Capital (Efficiency)</t>
  </si>
  <si>
    <r>
      <t>DSO (Receivables):</t>
    </r>
    <r>
      <rPr>
        <sz val="11"/>
        <color theme="1"/>
        <rFont val="Aptos Narrow"/>
        <family val="2"/>
        <scheme val="minor"/>
      </rPr>
      <t xml:space="preserve"> 40 Days.</t>
    </r>
  </si>
  <si>
    <r>
      <t>DIH (Inventory):</t>
    </r>
    <r>
      <rPr>
        <sz val="11"/>
        <color theme="1"/>
        <rFont val="Aptos Narrow"/>
        <family val="2"/>
        <scheme val="minor"/>
      </rPr>
      <t xml:space="preserve"> 50 Days.</t>
    </r>
  </si>
  <si>
    <r>
      <t>DPO (Payables):</t>
    </r>
    <r>
      <rPr>
        <sz val="11"/>
        <color theme="1"/>
        <rFont val="Aptos Narrow"/>
        <family val="2"/>
        <scheme val="minor"/>
      </rPr>
      <t xml:space="preserve"> 35 Days.</t>
    </r>
  </si>
  <si>
    <t>4. Investing &amp; Financing</t>
  </si>
  <si>
    <r>
      <t>CapEx:</t>
    </r>
    <r>
      <rPr>
        <sz val="11"/>
        <color theme="1"/>
        <rFont val="Aptos Narrow"/>
        <family val="2"/>
        <scheme val="minor"/>
      </rPr>
      <t xml:space="preserve"> $12,000 in 2024, growing by </t>
    </r>
    <r>
      <rPr>
        <b/>
        <sz val="11"/>
        <color theme="1"/>
        <rFont val="Aptos Narrow"/>
        <family val="2"/>
        <scheme val="minor"/>
      </rPr>
      <t>4%</t>
    </r>
    <r>
      <rPr>
        <sz val="11"/>
        <color theme="1"/>
        <rFont val="Aptos Narrow"/>
        <family val="2"/>
        <scheme val="minor"/>
      </rPr>
      <t xml:space="preserve"> annually.</t>
    </r>
  </si>
  <si>
    <r>
      <t>Depreciation: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10%</t>
    </r>
    <r>
      <rPr>
        <sz val="11"/>
        <color theme="1"/>
        <rFont val="Aptos Narrow"/>
        <family val="2"/>
        <scheme val="minor"/>
      </rPr>
      <t xml:space="preserve"> of the </t>
    </r>
    <r>
      <rPr>
        <b/>
        <sz val="11"/>
        <color theme="1"/>
        <rFont val="Aptos Narrow"/>
        <family val="2"/>
        <scheme val="minor"/>
      </rPr>
      <t>Beginning PP&amp;E balance</t>
    </r>
    <r>
      <rPr>
        <sz val="11"/>
        <color theme="1"/>
        <rFont val="Aptos Narrow"/>
        <family val="2"/>
        <scheme val="minor"/>
      </rPr>
      <t xml:space="preserve"> (the Ending PP&amp;E from the previous year).</t>
    </r>
  </si>
  <si>
    <r>
      <t>Debt Repayment:</t>
    </r>
    <r>
      <rPr>
        <sz val="11"/>
        <color theme="1"/>
        <rFont val="Aptos Narrow"/>
        <family val="2"/>
        <scheme val="minor"/>
      </rPr>
      <t xml:space="preserve"> The company pays back </t>
    </r>
    <r>
      <rPr>
        <b/>
        <sz val="11"/>
        <color theme="1"/>
        <rFont val="Aptos Narrow"/>
        <family val="2"/>
        <scheme val="minor"/>
      </rPr>
      <t>$1,500</t>
    </r>
    <r>
      <rPr>
        <sz val="11"/>
        <color theme="1"/>
        <rFont val="Aptos Narrow"/>
        <family val="2"/>
        <scheme val="minor"/>
      </rPr>
      <t xml:space="preserve"> of its loan principal every year.</t>
    </r>
  </si>
  <si>
    <r>
      <t>Dividends: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5% of Net Income</t>
    </r>
    <r>
      <rPr>
        <sz val="11"/>
        <color theme="1"/>
        <rFont val="Aptos Narrow"/>
        <family val="2"/>
        <scheme val="minor"/>
      </rPr>
      <t xml:space="preserve"> (paid out to shareholders starting in 2024).</t>
    </r>
  </si>
  <si>
    <t xml:space="preserve">1. Revenue &amp; Growth </t>
  </si>
  <si>
    <r>
      <t>COGS (% of Rev):</t>
    </r>
    <r>
      <rPr>
        <sz val="11"/>
        <color theme="1"/>
        <rFont val="Aptos Narrow"/>
        <family val="2"/>
        <scheme val="minor"/>
      </rPr>
      <t xml:space="preserve"> Start at </t>
    </r>
    <r>
      <rPr>
        <b/>
        <sz val="11"/>
        <color theme="1"/>
        <rFont val="Aptos Narrow"/>
        <family val="2"/>
        <scheme val="minor"/>
      </rPr>
      <t>64.5%</t>
    </r>
    <r>
      <rPr>
        <sz val="11"/>
        <color theme="1"/>
        <rFont val="Aptos Narrow"/>
        <family val="2"/>
        <scheme val="minor"/>
      </rPr>
      <t xml:space="preserve"> in 2024, and decrease it by </t>
    </r>
    <r>
      <rPr>
        <b/>
        <sz val="11"/>
        <color theme="1"/>
        <rFont val="Aptos Narrow"/>
        <family val="2"/>
        <scheme val="minor"/>
      </rPr>
      <t>0.5% each year</t>
    </r>
    <r>
      <rPr>
        <sz val="11"/>
        <color theme="1"/>
        <rFont val="Aptos Narrow"/>
        <family val="2"/>
        <scheme val="minor"/>
      </rPr>
      <t xml:space="preserve"> </t>
    </r>
  </si>
  <si>
    <r>
      <t>SG&amp;A (% of Rev):</t>
    </r>
    <r>
      <rPr>
        <sz val="11"/>
        <color theme="1"/>
        <rFont val="Aptos Narrow"/>
        <family val="2"/>
        <scheme val="minor"/>
      </rPr>
      <t xml:space="preserve"> Keep flat at </t>
    </r>
    <r>
      <rPr>
        <b/>
        <sz val="11"/>
        <color theme="1"/>
        <rFont val="Aptos Narrow"/>
        <family val="2"/>
        <scheme val="minor"/>
      </rPr>
      <t>19.0%</t>
    </r>
    <r>
      <rPr>
        <sz val="11"/>
        <color theme="1"/>
        <rFont val="Aptos Narrow"/>
        <family val="2"/>
        <scheme val="minor"/>
      </rPr>
      <t xml:space="preserve"> </t>
    </r>
  </si>
  <si>
    <t>Capex &amp; Depri Schedules</t>
  </si>
  <si>
    <t>DSO (Receivable)</t>
  </si>
  <si>
    <t>DIH (Inventory)</t>
  </si>
  <si>
    <t>DPO (Payable)</t>
  </si>
  <si>
    <t>Working Capital Schedules</t>
  </si>
  <si>
    <t>Days Sales Outstanding</t>
  </si>
  <si>
    <t>Days Inventory Held</t>
  </si>
  <si>
    <t>Days Payable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</si>
</sst>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0\A"/>
    <numFmt numFmtId="165" formatCode="0\F"/>
    <numFmt numFmtId="166" formatCode="_(#,##0_);\(#,##0\);_(&quot;–&quot;_);_(@_)"/>
    <numFmt numFmtId="167" formatCode="0.0%"/>
    <numFmt numFmtId="168" formatCode="_(* #,##0_);_(* \(#,##0\);_(* &quot;-&quot;??_);_(@_)"/>
    <numFmt numFmtId="169" formatCode="_(* #,##0.0_);_(* \(#,##0.0\);_(* &quot;-&quot;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432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rgb="FF0432FF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432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33202A"/>
        <bgColor indexed="64"/>
      </patternFill>
    </fill>
    <fill>
      <patternFill patternType="solid">
        <fgColor rgb="FF80ADA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3"/>
    <xf numFmtId="166" fontId="3" fillId="0" borderId="0" xfId="3" applyNumberFormat="1"/>
    <xf numFmtId="0" fontId="7" fillId="0" borderId="1" xfId="3" applyFont="1" applyBorder="1"/>
    <xf numFmtId="166" fontId="7" fillId="0" borderId="1" xfId="3" applyNumberFormat="1" applyFont="1" applyBorder="1"/>
    <xf numFmtId="166" fontId="8" fillId="0" borderId="0" xfId="3" applyNumberFormat="1" applyFont="1"/>
    <xf numFmtId="0" fontId="7" fillId="0" borderId="2" xfId="3" applyFont="1" applyBorder="1"/>
    <xf numFmtId="166" fontId="7" fillId="0" borderId="2" xfId="3" applyNumberFormat="1" applyFont="1" applyBorder="1"/>
    <xf numFmtId="0" fontId="6" fillId="2" borderId="0" xfId="3" applyFont="1" applyFill="1"/>
    <xf numFmtId="166" fontId="6" fillId="2" borderId="0" xfId="3" applyNumberFormat="1" applyFont="1" applyFill="1"/>
    <xf numFmtId="0" fontId="7" fillId="0" borderId="0" xfId="3" applyFont="1"/>
    <xf numFmtId="166" fontId="7" fillId="0" borderId="0" xfId="3" applyNumberFormat="1" applyFont="1"/>
    <xf numFmtId="1" fontId="8" fillId="0" borderId="0" xfId="3" applyNumberFormat="1" applyFont="1"/>
    <xf numFmtId="167" fontId="8" fillId="0" borderId="0" xfId="4" applyNumberFormat="1" applyFont="1"/>
    <xf numFmtId="167" fontId="8" fillId="0" borderId="0" xfId="3" applyNumberFormat="1" applyFont="1"/>
    <xf numFmtId="167" fontId="0" fillId="0" borderId="0" xfId="4" applyNumberFormat="1" applyFont="1"/>
    <xf numFmtId="167" fontId="3" fillId="0" borderId="0" xfId="3" applyNumberFormat="1"/>
    <xf numFmtId="0" fontId="8" fillId="0" borderId="0" xfId="3" applyFont="1"/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6" fontId="0" fillId="0" borderId="0" xfId="0" applyNumberForma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6" fontId="10" fillId="0" borderId="0" xfId="0" applyNumberFormat="1" applyFont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168" fontId="7" fillId="0" borderId="1" xfId="1" applyNumberFormat="1" applyFont="1" applyBorder="1"/>
    <xf numFmtId="168" fontId="3" fillId="0" borderId="0" xfId="1" applyNumberFormat="1" applyFont="1"/>
    <xf numFmtId="168" fontId="7" fillId="0" borderId="2" xfId="1" applyNumberFormat="1" applyFont="1" applyBorder="1"/>
    <xf numFmtId="168" fontId="13" fillId="0" borderId="0" xfId="1" applyNumberFormat="1" applyFont="1"/>
    <xf numFmtId="9" fontId="8" fillId="0" borderId="0" xfId="2" applyFont="1" applyFill="1"/>
    <xf numFmtId="9" fontId="3" fillId="0" borderId="0" xfId="2" applyFont="1"/>
    <xf numFmtId="167" fontId="14" fillId="0" borderId="0" xfId="4" applyNumberFormat="1" applyFont="1"/>
    <xf numFmtId="167" fontId="14" fillId="0" borderId="0" xfId="3" applyNumberFormat="1" applyFont="1"/>
    <xf numFmtId="166" fontId="14" fillId="0" borderId="0" xfId="3" applyNumberFormat="1" applyFont="1"/>
    <xf numFmtId="37" fontId="13" fillId="0" borderId="0" xfId="0" applyNumberFormat="1" applyFont="1"/>
    <xf numFmtId="37" fontId="15" fillId="0" borderId="1" xfId="3" applyNumberFormat="1" applyFont="1" applyBorder="1"/>
    <xf numFmtId="169" fontId="3" fillId="0" borderId="0" xfId="3" applyNumberFormat="1"/>
    <xf numFmtId="1" fontId="7" fillId="0" borderId="1" xfId="3" applyNumberFormat="1" applyFont="1" applyBorder="1"/>
    <xf numFmtId="2" fontId="3" fillId="0" borderId="0" xfId="3" applyNumberFormat="1"/>
    <xf numFmtId="1" fontId="16" fillId="0" borderId="0" xfId="4" applyNumberFormat="1" applyFont="1"/>
    <xf numFmtId="0" fontId="5" fillId="3" borderId="0" xfId="3" applyFont="1" applyFill="1" applyAlignment="1">
      <alignment vertical="center"/>
    </xf>
    <xf numFmtId="0" fontId="7" fillId="4" borderId="2" xfId="3" applyFont="1" applyFill="1" applyBorder="1"/>
    <xf numFmtId="166" fontId="7" fillId="4" borderId="2" xfId="3" applyNumberFormat="1" applyFont="1" applyFill="1" applyBorder="1"/>
    <xf numFmtId="0" fontId="6" fillId="5" borderId="0" xfId="3" applyFont="1" applyFill="1"/>
    <xf numFmtId="164" fontId="8" fillId="5" borderId="0" xfId="3" applyNumberFormat="1" applyFont="1" applyFill="1" applyAlignment="1">
      <alignment horizontal="center"/>
    </xf>
    <xf numFmtId="165" fontId="3" fillId="5" borderId="0" xfId="3" applyNumberFormat="1" applyFill="1" applyAlignment="1">
      <alignment horizontal="center"/>
    </xf>
    <xf numFmtId="0" fontId="7" fillId="5" borderId="0" xfId="3" applyFont="1" applyFill="1"/>
    <xf numFmtId="0" fontId="3" fillId="5" borderId="0" xfId="3" applyFill="1"/>
    <xf numFmtId="0" fontId="4" fillId="3" borderId="0" xfId="3" applyFont="1" applyFill="1" applyAlignment="1">
      <alignment horizontal="left" vertical="center" indent="1"/>
    </xf>
    <xf numFmtId="0" fontId="3" fillId="3" borderId="0" xfId="3" applyFill="1"/>
    <xf numFmtId="0" fontId="0" fillId="3" borderId="0" xfId="0" applyFill="1"/>
  </cellXfs>
  <cellStyles count="5">
    <cellStyle name="Comma" xfId="1" builtinId="3"/>
    <cellStyle name="Normal" xfId="0" builtinId="0"/>
    <cellStyle name="Normal 2" xfId="3" xr:uid="{DE29EC87-C1F6-4704-A57D-97ED1C1F4668}"/>
    <cellStyle name="Percent" xfId="2" builtinId="5"/>
    <cellStyle name="Percent 2" xfId="4" xr:uid="{FC34A8AE-20B9-4295-8B0A-8DFEE2AF1F54}"/>
  </cellStyles>
  <dxfs count="6"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</dxfs>
  <tableStyles count="0" defaultTableStyle="TableStyleMedium2" defaultPivotStyle="PivotStyleLight16"/>
  <colors>
    <mruColors>
      <color rgb="FF33202A"/>
      <color rgb="FF80ADA0"/>
      <color rgb="FF5F5566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565150</xdr:colOff>
      <xdr:row>2</xdr:row>
      <xdr:rowOff>459</xdr:rowOff>
    </xdr:from>
    <xdr:to>
      <xdr:col>26</xdr:col>
      <xdr:colOff>127000</xdr:colOff>
      <xdr:row>101</xdr:row>
      <xdr:rowOff>124239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999CDC-6EB2-F991-9B36-36AC82BC86FA}"/>
            </a:ext>
          </a:extLst>
        </xdr:cNvPr>
        <xdr:cNvSpPr/>
      </xdr:nvSpPr>
      <xdr:spPr>
        <a:xfrm>
          <a:off x="1172541" y="359372"/>
          <a:ext cx="14746633" cy="17889976"/>
        </a:xfrm>
        <a:prstGeom prst="roundRect">
          <a:avLst>
            <a:gd name="adj" fmla="val 686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486834</xdr:colOff>
      <xdr:row>5</xdr:row>
      <xdr:rowOff>148166</xdr:rowOff>
    </xdr:from>
    <xdr:to>
      <xdr:col>23</xdr:col>
      <xdr:colOff>497416</xdr:colOff>
      <xdr:row>17</xdr:row>
      <xdr:rowOff>137583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8012A2-F558-0D9F-F248-987C8CD3CFEA}"/>
            </a:ext>
          </a:extLst>
        </xdr:cNvPr>
        <xdr:cNvSpPr txBox="1"/>
      </xdr:nvSpPr>
      <xdr:spPr>
        <a:xfrm>
          <a:off x="2942167" y="1047749"/>
          <a:ext cx="11673416" cy="2148417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>
              <a:latin typeface="Arial Black" panose="020B0A04020102020204" pitchFamily="34" charset="0"/>
            </a:rPr>
            <a:t>CloudStream Logistics</a:t>
          </a:r>
        </a:p>
        <a:p>
          <a:pPr algn="ctr"/>
          <a:r>
            <a:rPr lang="en-US" sz="6600">
              <a:latin typeface="Arial Black" panose="020B0A04020102020204" pitchFamily="34" charset="0"/>
            </a:rPr>
            <a:t>3 Statement Model</a:t>
          </a:r>
        </a:p>
      </xdr:txBody>
    </xdr:sp>
    <xdr:clientData/>
  </xdr:twoCellAnchor>
  <xdr:twoCellAnchor>
    <xdr:from>
      <xdr:col>4</xdr:col>
      <xdr:colOff>179917</xdr:colOff>
      <xdr:row>21</xdr:row>
      <xdr:rowOff>158749</xdr:rowOff>
    </xdr:from>
    <xdr:to>
      <xdr:col>24</xdr:col>
      <xdr:colOff>296333</xdr:colOff>
      <xdr:row>31</xdr:row>
      <xdr:rowOff>82825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C584B1-9DC1-3AC1-15E1-D83706FBAC47}"/>
            </a:ext>
          </a:extLst>
        </xdr:cNvPr>
        <xdr:cNvSpPr txBox="1"/>
      </xdr:nvSpPr>
      <xdr:spPr>
        <a:xfrm>
          <a:off x="2609482" y="3927336"/>
          <a:ext cx="12264242" cy="17186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/>
            <a:t>AquaPure designs and installs large-scale water purification units for manufacturing plants. They sell a "Solution-as-a-Service"—they charge one single annual fee that covers the hardware, installation, and ongoing maintenance.</a:t>
          </a:r>
          <a:endParaRPr lang="en-US" sz="2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Historical Data (Actuals: FY 2023)</a:t>
          </a:r>
        </a:p>
        <a:p>
          <a:pPr algn="l"/>
          <a:endParaRPr lang="en-US" sz="2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br>
            <a:rPr lang="en-US" sz="2000"/>
          </a:br>
          <a:endParaRPr lang="en-US" sz="2000"/>
        </a:p>
        <a:p>
          <a:endParaRPr lang="en-US" sz="1600"/>
        </a:p>
      </xdr:txBody>
    </xdr:sp>
    <xdr:clientData/>
  </xdr:twoCellAnchor>
  <xdr:twoCellAnchor editAs="oneCell">
    <xdr:from>
      <xdr:col>4</xdr:col>
      <xdr:colOff>246063</xdr:colOff>
      <xdr:row>32</xdr:row>
      <xdr:rowOff>171862</xdr:rowOff>
    </xdr:from>
    <xdr:to>
      <xdr:col>11</xdr:col>
      <xdr:colOff>92075</xdr:colOff>
      <xdr:row>40</xdr:row>
      <xdr:rowOff>119404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3359D8-C6F2-03B6-7D76-999543CFB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5628" y="5914471"/>
          <a:ext cx="4097751" cy="1383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254001</xdr:colOff>
      <xdr:row>41</xdr:row>
      <xdr:rowOff>163929</xdr:rowOff>
    </xdr:from>
    <xdr:to>
      <xdr:col>11</xdr:col>
      <xdr:colOff>100013</xdr:colOff>
      <xdr:row>53</xdr:row>
      <xdr:rowOff>79720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1889A9-5EEB-5B8D-084F-A251173C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3566" y="7521646"/>
          <a:ext cx="4097751" cy="206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193261</xdr:colOff>
      <xdr:row>54</xdr:row>
      <xdr:rowOff>165650</xdr:rowOff>
    </xdr:from>
    <xdr:to>
      <xdr:col>22</xdr:col>
      <xdr:colOff>469348</xdr:colOff>
      <xdr:row>96</xdr:row>
      <xdr:rowOff>69019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D78674-8571-C17F-BA50-255586B7B87B}"/>
            </a:ext>
          </a:extLst>
        </xdr:cNvPr>
        <xdr:cNvSpPr txBox="1"/>
      </xdr:nvSpPr>
      <xdr:spPr>
        <a:xfrm>
          <a:off x="2622826" y="9856302"/>
          <a:ext cx="11209131" cy="74405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5-Year Forecasting Assumptions (2024–2028)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Revenue &amp; Growth 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 Growth: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18.0%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 Growth: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16.0%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2026 Growth: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14.0%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2027 Growth: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12.0%</a:t>
          </a:r>
        </a:p>
        <a:p>
          <a:r>
            <a:rPr lang="en-US" sz="2000">
              <a:effectLst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2028 Growth: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10.0%</a:t>
          </a:r>
          <a:r>
            <a:rPr lang="en-US" sz="2000">
              <a:effectLst/>
            </a:rPr>
            <a:t> </a:t>
          </a:r>
        </a:p>
        <a:p>
          <a:endParaRPr lang="en-US" sz="20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Profitability &amp; Tax</a:t>
          </a:r>
          <a:r>
            <a:rPr lang="en-US" sz="2000">
              <a:effectLst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COGS (% of Rev):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 at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64.5%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2024, and decrease it by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0.5% each year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SG&amp;A (% of Rev):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Keep flat at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19.0%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 Rate: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21.0%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sz="2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Working Capital (Efficiency)</a:t>
          </a:r>
        </a:p>
        <a:p>
          <a:r>
            <a:rPr lang="en-US" sz="2000">
              <a:effectLst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DSO (Receivables):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 Days.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DIH (Inventory):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50 Days.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DPO (Payables):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35 Days.</a:t>
          </a:r>
          <a:r>
            <a:rPr lang="en-US" sz="2000">
              <a:effectLst/>
            </a:rPr>
            <a:t> </a:t>
          </a:r>
        </a:p>
        <a:p>
          <a:endParaRPr lang="en-US" sz="20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Investing &amp; Financing</a:t>
          </a:r>
          <a:r>
            <a:rPr lang="en-US" sz="2000">
              <a:effectLst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CapEx: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$12,000 in 2024, growing by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4%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annually.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Depreciation: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10%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Beginning PP&amp;E balance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(the Ending PP&amp;E from the previous year).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Debt Repayment: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company pays back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$1,500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its loan principal every year.</a:t>
          </a:r>
          <a:r>
            <a:rPr lang="en-US" sz="2000">
              <a:effectLst/>
            </a:rPr>
            <a:t> </a:t>
          </a:r>
        </a:p>
        <a:p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Dividends: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 of Net Income</a:t>
          </a:r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(paid out to shareholders starting in 2024).</a:t>
          </a:r>
          <a:r>
            <a:rPr lang="en-US" sz="2000">
              <a:effectLst/>
            </a:rPr>
            <a:t> </a:t>
          </a:r>
          <a:endParaRPr lang="en-U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27609</xdr:colOff>
      <xdr:row>0</xdr:row>
      <xdr:rowOff>1</xdr:rowOff>
    </xdr:from>
    <xdr:to>
      <xdr:col>8</xdr:col>
      <xdr:colOff>5522</xdr:colOff>
      <xdr:row>1</xdr:row>
      <xdr:rowOff>60740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1772FC-86FB-A6DB-7EEA-F5E939DFDAB7}"/>
            </a:ext>
          </a:extLst>
        </xdr:cNvPr>
        <xdr:cNvSpPr txBox="1"/>
      </xdr:nvSpPr>
      <xdr:spPr>
        <a:xfrm>
          <a:off x="5886174" y="1"/>
          <a:ext cx="1568174" cy="684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CloudStream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Logistics</a:t>
          </a:r>
          <a:endParaRPr lang="en-US" sz="1400">
            <a:solidFill>
              <a:schemeClr val="bg1"/>
            </a:solidFill>
            <a:effectLst/>
            <a:latin typeface="Arial Black" panose="020B0A04020102020204" pitchFamily="34" charset="0"/>
          </a:endParaRPr>
        </a:p>
        <a:p>
          <a:pPr algn="ctr"/>
          <a:endParaRPr lang="en-US" sz="1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75329-608F-43D9-8C99-AAC6209AC138}" name="Table1" displayName="Table1" ref="C3:D31" totalsRowShown="0">
  <autoFilter ref="C3:D31" xr:uid="{89175329-608F-43D9-8C99-AAC6209AC138}"/>
  <tableColumns count="2">
    <tableColumn id="1" xr3:uid="{2F73B98F-6018-499C-BD96-8D52FB4B1FD7}" name="Income Statement Items" dataDxfId="5"/>
    <tableColumn id="2" xr3:uid="{EF9E6F37-D4AF-48CD-A20D-4393D4430756}" name="Column1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39E132-1216-41D6-9841-83C72354C912}" name="Table13" displayName="Table13" ref="G5:H32" totalsRowShown="0">
  <autoFilter ref="G5:H32" xr:uid="{E639E132-1216-41D6-9841-83C72354C912}">
    <filterColumn colId="0" hiddenButton="1"/>
    <filterColumn colId="1" hiddenButton="1"/>
  </autoFilter>
  <tableColumns count="2">
    <tableColumn id="1" xr3:uid="{60E7D1D3-97C1-4A98-97F8-0CCF0FA97960}" name="Income Statement Items" dataDxfId="3"/>
    <tableColumn id="2" xr3:uid="{AD301695-754C-439D-B926-385C3FC414BB}" name="Value (in thousands)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B74A22-4F6C-4B9F-972C-EBE9F7BA07CE}" name="Table134" displayName="Table134" ref="J5:K32" totalsRowShown="0">
  <autoFilter ref="J5:K32" xr:uid="{31B74A22-4F6C-4B9F-972C-EBE9F7BA07CE}"/>
  <tableColumns count="2">
    <tableColumn id="1" xr3:uid="{A331BDCC-8FD3-4F8D-A969-949F5110888B}" name="Income Statement Items" dataDxfId="1"/>
    <tableColumn id="2" xr3:uid="{B11E2A5C-9592-4FAA-B9A4-8E571E9C2CD7}" name="Value (in thousands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9ED5-D7CF-4863-924C-16DB0AA5FFF5}">
  <dimension ref="A1"/>
  <sheetViews>
    <sheetView topLeftCell="A49" zoomScale="46" zoomScaleNormal="80" workbookViewId="0">
      <selection sqref="A1:XFD1048576"/>
    </sheetView>
  </sheetViews>
  <sheetFormatPr defaultRowHeight="14.5" x14ac:dyDescent="0.35"/>
  <cols>
    <col min="1" max="16384" width="8.7265625" style="55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0A29-1D06-4F49-BA32-35D78BA582C8}">
  <dimension ref="A1:I113"/>
  <sheetViews>
    <sheetView tabSelected="1" zoomScale="49" zoomScaleNormal="49" workbookViewId="0">
      <selection activeCell="I75" sqref="I75"/>
    </sheetView>
  </sheetViews>
  <sheetFormatPr defaultColWidth="9.6328125" defaultRowHeight="16" x14ac:dyDescent="0.4"/>
  <cols>
    <col min="1" max="1" width="4.54296875" style="1" customWidth="1"/>
    <col min="2" max="2" width="33.26953125" style="1" customWidth="1"/>
    <col min="3" max="3" width="13" style="1" bestFit="1" customWidth="1"/>
    <col min="4" max="4" width="10.26953125" style="1" bestFit="1" customWidth="1"/>
    <col min="5" max="8" width="11.36328125" style="1" bestFit="1" customWidth="1"/>
    <col min="9" max="9" width="25" style="1" bestFit="1" customWidth="1"/>
    <col min="10" max="16384" width="9.6328125" style="1"/>
  </cols>
  <sheetData>
    <row r="1" spans="1:9" ht="49" customHeight="1" x14ac:dyDescent="0.4">
      <c r="B1" s="53" t="s">
        <v>0</v>
      </c>
      <c r="C1" s="54"/>
      <c r="D1" s="54"/>
      <c r="E1" s="54"/>
      <c r="F1" s="54"/>
      <c r="G1" s="54"/>
      <c r="H1" s="54"/>
    </row>
    <row r="3" spans="1:9" x14ac:dyDescent="0.4">
      <c r="A3" s="1" t="s">
        <v>1</v>
      </c>
      <c r="B3" s="45" t="s">
        <v>2</v>
      </c>
      <c r="C3" s="45"/>
      <c r="D3" s="45"/>
      <c r="E3" s="45"/>
      <c r="F3" s="45"/>
      <c r="G3" s="45"/>
      <c r="H3" s="45"/>
    </row>
    <row r="4" spans="1:9" x14ac:dyDescent="0.4">
      <c r="B4" s="48" t="s">
        <v>61</v>
      </c>
      <c r="C4" s="49">
        <v>2023</v>
      </c>
      <c r="D4" s="50">
        <f>C4+1</f>
        <v>2024</v>
      </c>
      <c r="E4" s="50">
        <f t="shared" ref="E4:H4" si="0">D4+1</f>
        <v>2025</v>
      </c>
      <c r="F4" s="50">
        <f t="shared" si="0"/>
        <v>2026</v>
      </c>
      <c r="G4" s="50">
        <f t="shared" si="0"/>
        <v>2027</v>
      </c>
      <c r="H4" s="50">
        <f t="shared" si="0"/>
        <v>2028</v>
      </c>
    </row>
    <row r="5" spans="1:9" x14ac:dyDescent="0.4">
      <c r="B5" s="1" t="s">
        <v>3</v>
      </c>
      <c r="C5" s="5">
        <v>80000</v>
      </c>
      <c r="D5" s="2">
        <f>C5*(1+D60)</f>
        <v>94400</v>
      </c>
      <c r="E5" s="2">
        <f>D5*(1+E60)</f>
        <v>109503.99999999999</v>
      </c>
      <c r="F5" s="2">
        <f>E5*(1+F60)</f>
        <v>124834.56</v>
      </c>
      <c r="G5" s="2">
        <f>F5*(1+G60)</f>
        <v>139814.7072</v>
      </c>
      <c r="H5" s="2">
        <f>G5*(1+H60)</f>
        <v>153796.17792000002</v>
      </c>
    </row>
    <row r="6" spans="1:9" x14ac:dyDescent="0.4">
      <c r="B6" s="1" t="s">
        <v>4</v>
      </c>
      <c r="C6" s="5">
        <v>-52000</v>
      </c>
      <c r="D6" s="2">
        <f>-D5*D62</f>
        <v>-61360</v>
      </c>
      <c r="E6" s="2">
        <f t="shared" ref="E6:H6" si="1">-E5*E62</f>
        <v>-65702.399999999994</v>
      </c>
      <c r="F6" s="2">
        <f t="shared" si="1"/>
        <v>-68659.007999999987</v>
      </c>
      <c r="G6" s="2">
        <f t="shared" si="1"/>
        <v>-69907.353599999988</v>
      </c>
      <c r="H6" s="2">
        <f t="shared" si="1"/>
        <v>-69208.280064000006</v>
      </c>
      <c r="I6" s="35"/>
    </row>
    <row r="7" spans="1:9" x14ac:dyDescent="0.4">
      <c r="B7" s="3" t="s">
        <v>5</v>
      </c>
      <c r="C7" s="4">
        <f>SUM(C5:C6)</f>
        <v>28000</v>
      </c>
      <c r="D7" s="4">
        <f t="shared" ref="D7:G7" si="2">SUM(D5:D6)</f>
        <v>33040</v>
      </c>
      <c r="E7" s="4">
        <f t="shared" si="2"/>
        <v>43801.599999999991</v>
      </c>
      <c r="F7" s="4">
        <f t="shared" si="2"/>
        <v>56175.552000000011</v>
      </c>
      <c r="G7" s="4">
        <f t="shared" si="2"/>
        <v>69907.353600000017</v>
      </c>
      <c r="H7" s="4">
        <f>SUM(H5:H6)</f>
        <v>84587.897856000011</v>
      </c>
    </row>
    <row r="8" spans="1:9" x14ac:dyDescent="0.4">
      <c r="B8" s="1" t="s">
        <v>6</v>
      </c>
      <c r="C8" s="5">
        <v>-16000</v>
      </c>
      <c r="D8" s="2">
        <f>-D5*D63</f>
        <v>-18880</v>
      </c>
      <c r="E8" s="2">
        <f t="shared" ref="E8:H8" si="3">-E5*E63</f>
        <v>-21900.799999999999</v>
      </c>
      <c r="F8" s="2">
        <f t="shared" si="3"/>
        <v>-24966.912</v>
      </c>
      <c r="G8" s="2">
        <f t="shared" si="3"/>
        <v>-27962.941440000002</v>
      </c>
      <c r="H8" s="2">
        <f t="shared" si="3"/>
        <v>-30759.235584000005</v>
      </c>
    </row>
    <row r="9" spans="1:9" ht="18.5" x14ac:dyDescent="0.45">
      <c r="B9" s="1" t="s">
        <v>7</v>
      </c>
      <c r="C9" s="39">
        <v>-3500</v>
      </c>
      <c r="D9" s="2">
        <f>-D93</f>
        <v>-7700</v>
      </c>
      <c r="E9" s="2">
        <f t="shared" ref="E9:H9" si="4">-E93</f>
        <v>-8948</v>
      </c>
      <c r="F9" s="2">
        <f t="shared" si="4"/>
        <v>-10245.92</v>
      </c>
      <c r="G9" s="2">
        <f t="shared" si="4"/>
        <v>-11595.756799999999</v>
      </c>
      <c r="H9" s="2">
        <f t="shared" si="4"/>
        <v>-12999.587072</v>
      </c>
    </row>
    <row r="10" spans="1:9" x14ac:dyDescent="0.4">
      <c r="B10" s="3" t="s">
        <v>8</v>
      </c>
      <c r="C10" s="40">
        <f>SUM(C7:C9)</f>
        <v>8500</v>
      </c>
      <c r="D10" s="40">
        <f t="shared" ref="D10:H10" si="5">SUM(D7:D9)</f>
        <v>6460</v>
      </c>
      <c r="E10" s="40">
        <f t="shared" si="5"/>
        <v>12952.799999999992</v>
      </c>
      <c r="F10" s="40">
        <f t="shared" si="5"/>
        <v>20962.720000000008</v>
      </c>
      <c r="G10" s="40">
        <f t="shared" si="5"/>
        <v>30348.655360000015</v>
      </c>
      <c r="H10" s="40">
        <f t="shared" si="5"/>
        <v>40829.075199999999</v>
      </c>
    </row>
    <row r="11" spans="1:9" ht="18.5" x14ac:dyDescent="0.45">
      <c r="B11" s="1" t="s">
        <v>9</v>
      </c>
      <c r="C11" s="39">
        <v>-3500</v>
      </c>
      <c r="D11" s="2">
        <f>-D75</f>
        <v>-1500</v>
      </c>
      <c r="E11" s="2">
        <f t="shared" ref="E11:H11" si="6">-E75</f>
        <v>-1500</v>
      </c>
      <c r="F11" s="2">
        <f t="shared" si="6"/>
        <v>-1500</v>
      </c>
      <c r="G11" s="2">
        <f t="shared" si="6"/>
        <v>-1500</v>
      </c>
      <c r="H11" s="2">
        <f t="shared" si="6"/>
        <v>-1500</v>
      </c>
    </row>
    <row r="12" spans="1:9" x14ac:dyDescent="0.4">
      <c r="B12" s="3" t="s">
        <v>10</v>
      </c>
      <c r="C12" s="42">
        <f>SUM(C10:C11)</f>
        <v>5000</v>
      </c>
      <c r="D12" s="42">
        <f t="shared" ref="D12:H12" si="7">SUM(D10:D11)</f>
        <v>4960</v>
      </c>
      <c r="E12" s="42">
        <f t="shared" si="7"/>
        <v>11452.799999999992</v>
      </c>
      <c r="F12" s="42">
        <f t="shared" si="7"/>
        <v>19462.720000000008</v>
      </c>
      <c r="G12" s="42">
        <f t="shared" si="7"/>
        <v>28848.655360000015</v>
      </c>
      <c r="H12" s="42">
        <f t="shared" si="7"/>
        <v>39329.075199999999</v>
      </c>
    </row>
    <row r="13" spans="1:9" x14ac:dyDescent="0.4">
      <c r="B13" s="1" t="s">
        <v>11</v>
      </c>
      <c r="C13" s="2">
        <f>IF(C12&gt;0,-C12*C65,0)</f>
        <v>-1050</v>
      </c>
      <c r="D13" s="2">
        <f t="shared" ref="D13:H13" si="8">IF(D12&gt;0,-D12*D65,0)</f>
        <v>-1041.5999999999999</v>
      </c>
      <c r="E13" s="2">
        <f t="shared" si="8"/>
        <v>-2405.0879999999984</v>
      </c>
      <c r="F13" s="2">
        <f t="shared" si="8"/>
        <v>-4087.1712000000016</v>
      </c>
      <c r="G13" s="2">
        <f t="shared" si="8"/>
        <v>-6058.217625600003</v>
      </c>
      <c r="H13" s="2">
        <f t="shared" si="8"/>
        <v>-8259.1057920000003</v>
      </c>
    </row>
    <row r="14" spans="1:9" x14ac:dyDescent="0.4">
      <c r="B14" s="46" t="s">
        <v>12</v>
      </c>
      <c r="C14" s="47">
        <f>SUM(C12:C13)</f>
        <v>3950</v>
      </c>
      <c r="D14" s="47">
        <f t="shared" ref="D14:H14" si="9">SUM(D12:D13)</f>
        <v>3918.4</v>
      </c>
      <c r="E14" s="47">
        <f t="shared" si="9"/>
        <v>9047.7119999999941</v>
      </c>
      <c r="F14" s="47">
        <f t="shared" si="9"/>
        <v>15375.548800000008</v>
      </c>
      <c r="G14" s="47">
        <f t="shared" si="9"/>
        <v>22790.437734400013</v>
      </c>
      <c r="H14" s="47">
        <f t="shared" si="9"/>
        <v>31069.969407999997</v>
      </c>
    </row>
    <row r="16" spans="1:9" x14ac:dyDescent="0.4">
      <c r="A16" s="1" t="s">
        <v>1</v>
      </c>
      <c r="B16" s="45" t="s">
        <v>13</v>
      </c>
      <c r="C16" s="45"/>
      <c r="D16" s="45"/>
      <c r="E16" s="45"/>
      <c r="F16" s="45"/>
      <c r="G16" s="45"/>
      <c r="H16" s="45"/>
    </row>
    <row r="17" spans="2:9" x14ac:dyDescent="0.4">
      <c r="B17" s="48" t="s">
        <v>61</v>
      </c>
      <c r="C17" s="49">
        <v>2023</v>
      </c>
      <c r="D17" s="50">
        <f>C17+1</f>
        <v>2024</v>
      </c>
      <c r="E17" s="50">
        <f t="shared" ref="E17:H17" si="10">D17+1</f>
        <v>2025</v>
      </c>
      <c r="F17" s="50">
        <f t="shared" si="10"/>
        <v>2026</v>
      </c>
      <c r="G17" s="50">
        <f t="shared" si="10"/>
        <v>2027</v>
      </c>
      <c r="H17" s="50">
        <f t="shared" si="10"/>
        <v>2028</v>
      </c>
    </row>
    <row r="18" spans="2:9" ht="18.5" x14ac:dyDescent="0.45">
      <c r="B18" s="1" t="s">
        <v>14</v>
      </c>
      <c r="C18" s="33">
        <v>18000</v>
      </c>
      <c r="D18" s="2">
        <f>D56</f>
        <v>15959.630684931506</v>
      </c>
      <c r="E18" s="2">
        <f t="shared" ref="E18:H18" si="11">E56</f>
        <v>19189.269413698625</v>
      </c>
      <c r="F18" s="2">
        <f t="shared" si="11"/>
        <v>29261.194965479452</v>
      </c>
      <c r="G18" s="2">
        <f t="shared" si="11"/>
        <v>47316.537772063566</v>
      </c>
      <c r="H18" s="2">
        <f t="shared" si="11"/>
        <v>74290.806141773151</v>
      </c>
    </row>
    <row r="19" spans="2:9" ht="18.5" x14ac:dyDescent="0.45">
      <c r="B19" s="1" t="s">
        <v>15</v>
      </c>
      <c r="C19" s="33">
        <v>8767</v>
      </c>
      <c r="D19" s="2">
        <f>(D71/365)*D68</f>
        <v>10345.205479452054</v>
      </c>
      <c r="E19" s="2">
        <f>(E71/365)*E68</f>
        <v>12000.438356164381</v>
      </c>
      <c r="F19" s="2">
        <f>(F71/365)*F68</f>
        <v>13680.499726027396</v>
      </c>
      <c r="G19" s="2">
        <f>(G71/365)*G68</f>
        <v>15322.159693150685</v>
      </c>
      <c r="H19" s="2">
        <f>(H71/365)*H68</f>
        <v>16854.375662465754</v>
      </c>
    </row>
    <row r="20" spans="2:9" ht="18.5" x14ac:dyDescent="0.45">
      <c r="B20" s="1" t="s">
        <v>16</v>
      </c>
      <c r="C20" s="33">
        <v>7623</v>
      </c>
      <c r="D20" s="2">
        <f>(D72/365)*D69</f>
        <v>8405.4794520547948</v>
      </c>
      <c r="E20" s="2">
        <f t="shared" ref="E20:G20" si="12">(E72/365)*E69</f>
        <v>9000.3287671232865</v>
      </c>
      <c r="F20" s="2">
        <f t="shared" si="12"/>
        <v>9405.3435616438328</v>
      </c>
      <c r="G20" s="2">
        <f t="shared" si="12"/>
        <v>9576.3498082191763</v>
      </c>
      <c r="H20" s="2">
        <f>(H72/365)*H69</f>
        <v>9480.5863101369869</v>
      </c>
    </row>
    <row r="21" spans="2:9" x14ac:dyDescent="0.4">
      <c r="B21" s="3" t="s">
        <v>17</v>
      </c>
      <c r="C21" s="30">
        <f>SUM(C18:C20)</f>
        <v>34390</v>
      </c>
      <c r="D21" s="30">
        <f t="shared" ref="D21:G21" si="13">SUM(D18:D20)</f>
        <v>34710.315616438354</v>
      </c>
      <c r="E21" s="30">
        <f t="shared" si="13"/>
        <v>40190.036536986292</v>
      </c>
      <c r="F21" s="30">
        <f t="shared" si="13"/>
        <v>52347.038253150677</v>
      </c>
      <c r="G21" s="30">
        <f t="shared" si="13"/>
        <v>72215.047273433433</v>
      </c>
      <c r="H21" s="30">
        <f>SUM(H18:H20)</f>
        <v>100625.7681143759</v>
      </c>
    </row>
    <row r="22" spans="2:9" ht="18.5" x14ac:dyDescent="0.45">
      <c r="B22" s="1" t="s">
        <v>18</v>
      </c>
      <c r="C22" s="33">
        <v>65000</v>
      </c>
      <c r="D22" s="2">
        <f>D98</f>
        <v>69300</v>
      </c>
      <c r="E22" s="2">
        <f t="shared" ref="E22:H22" si="14">E98</f>
        <v>72832</v>
      </c>
      <c r="F22" s="2">
        <f t="shared" si="14"/>
        <v>75565.279999999999</v>
      </c>
      <c r="G22" s="2">
        <f t="shared" si="14"/>
        <v>77467.891199999998</v>
      </c>
      <c r="H22" s="2">
        <f t="shared" si="14"/>
        <v>78506.606847999996</v>
      </c>
      <c r="I22" s="41"/>
    </row>
    <row r="23" spans="2:9" x14ac:dyDescent="0.4">
      <c r="B23" s="46" t="s">
        <v>19</v>
      </c>
      <c r="C23" s="47">
        <f>SUM(C21:C22)</f>
        <v>99390</v>
      </c>
      <c r="D23" s="47">
        <f t="shared" ref="D23:G23" si="15">SUM(D21:D22)</f>
        <v>104010.31561643835</v>
      </c>
      <c r="E23" s="47">
        <f t="shared" si="15"/>
        <v>113022.0365369863</v>
      </c>
      <c r="F23" s="47">
        <f t="shared" si="15"/>
        <v>127912.31825315068</v>
      </c>
      <c r="G23" s="47">
        <f t="shared" si="15"/>
        <v>149682.93847343343</v>
      </c>
      <c r="H23" s="47">
        <f>SUM(H21:H22)</f>
        <v>179132.37496237591</v>
      </c>
    </row>
    <row r="24" spans="2:9" x14ac:dyDescent="0.4">
      <c r="C24" s="31"/>
    </row>
    <row r="25" spans="2:9" ht="18.5" x14ac:dyDescent="0.45">
      <c r="B25" s="1" t="s">
        <v>20</v>
      </c>
      <c r="C25" s="33">
        <v>4986</v>
      </c>
      <c r="D25" s="2">
        <f>(D73/365)*D69</f>
        <v>5883.8356164383558</v>
      </c>
      <c r="E25" s="2">
        <f t="shared" ref="E25:H25" si="16">(E73/365)*E69</f>
        <v>6300.2301369863007</v>
      </c>
      <c r="F25" s="2">
        <f t="shared" si="16"/>
        <v>6583.7404931506835</v>
      </c>
      <c r="G25" s="2">
        <f t="shared" si="16"/>
        <v>6703.4448657534231</v>
      </c>
      <c r="H25" s="2">
        <f t="shared" si="16"/>
        <v>6636.4104170958908</v>
      </c>
    </row>
    <row r="26" spans="2:9" x14ac:dyDescent="0.4">
      <c r="B26" s="3" t="s">
        <v>21</v>
      </c>
      <c r="C26" s="30">
        <f>C25</f>
        <v>4986</v>
      </c>
      <c r="D26" s="30">
        <f t="shared" ref="D26:H26" si="17">D25</f>
        <v>5883.8356164383558</v>
      </c>
      <c r="E26" s="30">
        <f t="shared" si="17"/>
        <v>6300.2301369863007</v>
      </c>
      <c r="F26" s="30">
        <f t="shared" si="17"/>
        <v>6583.7404931506835</v>
      </c>
      <c r="G26" s="30">
        <f t="shared" si="17"/>
        <v>6703.4448657534231</v>
      </c>
      <c r="H26" s="30">
        <f t="shared" si="17"/>
        <v>6636.4104170958908</v>
      </c>
    </row>
    <row r="27" spans="2:9" x14ac:dyDescent="0.4">
      <c r="C27" s="31"/>
    </row>
    <row r="28" spans="2:9" ht="18.5" x14ac:dyDescent="0.45">
      <c r="B28" s="1" t="s">
        <v>22</v>
      </c>
      <c r="C28" s="33">
        <v>50000</v>
      </c>
      <c r="D28" s="33">
        <v>50000</v>
      </c>
      <c r="E28" s="33">
        <v>50000</v>
      </c>
      <c r="F28" s="33">
        <v>50000</v>
      </c>
      <c r="G28" s="33">
        <v>50000</v>
      </c>
      <c r="H28" s="33">
        <v>50000</v>
      </c>
    </row>
    <row r="29" spans="2:9" x14ac:dyDescent="0.4">
      <c r="B29" s="6" t="s">
        <v>23</v>
      </c>
      <c r="C29" s="32">
        <f>SUM(C26,C28)</f>
        <v>54986</v>
      </c>
      <c r="D29" s="32">
        <f t="shared" ref="D29:G29" si="18">SUM(D26,D28)</f>
        <v>55883.835616438359</v>
      </c>
      <c r="E29" s="32">
        <f t="shared" si="18"/>
        <v>56300.230136986298</v>
      </c>
      <c r="F29" s="32">
        <f t="shared" si="18"/>
        <v>56583.740493150683</v>
      </c>
      <c r="G29" s="32">
        <f t="shared" si="18"/>
        <v>56703.444865753423</v>
      </c>
      <c r="H29" s="32">
        <f>SUM(H26,H28)</f>
        <v>56636.410417095889</v>
      </c>
    </row>
    <row r="30" spans="2:9" x14ac:dyDescent="0.4">
      <c r="C30" s="31"/>
    </row>
    <row r="31" spans="2:9" ht="18.5" x14ac:dyDescent="0.45">
      <c r="B31" s="1" t="s">
        <v>24</v>
      </c>
      <c r="C31" s="33">
        <v>30000</v>
      </c>
      <c r="D31" s="33">
        <v>30000</v>
      </c>
      <c r="E31" s="33">
        <v>30000</v>
      </c>
      <c r="F31" s="33">
        <v>30000</v>
      </c>
      <c r="G31" s="33">
        <v>30000</v>
      </c>
      <c r="H31" s="33">
        <v>30000</v>
      </c>
    </row>
    <row r="32" spans="2:9" ht="18.5" x14ac:dyDescent="0.45">
      <c r="B32" s="1" t="s">
        <v>25</v>
      </c>
      <c r="C32" s="33">
        <v>14404</v>
      </c>
      <c r="D32" s="2">
        <f>D104</f>
        <v>18126.480000000003</v>
      </c>
      <c r="E32" s="2">
        <f t="shared" ref="E32:H32" si="19">E104</f>
        <v>26721.806399999994</v>
      </c>
      <c r="F32" s="2">
        <f t="shared" si="19"/>
        <v>41328.577760000007</v>
      </c>
      <c r="G32" s="2">
        <f t="shared" si="19"/>
        <v>62979.493607680022</v>
      </c>
      <c r="H32" s="2">
        <f t="shared" si="19"/>
        <v>92495.964545280032</v>
      </c>
    </row>
    <row r="33" spans="1:8" x14ac:dyDescent="0.4">
      <c r="B33" s="6" t="s">
        <v>26</v>
      </c>
      <c r="C33" s="32">
        <f>SUM(C31:C32)</f>
        <v>44404</v>
      </c>
      <c r="D33" s="32">
        <f t="shared" ref="D33:G33" si="20">SUM(D31:D32)</f>
        <v>48126.48</v>
      </c>
      <c r="E33" s="32">
        <f t="shared" si="20"/>
        <v>56721.806399999994</v>
      </c>
      <c r="F33" s="32">
        <f t="shared" si="20"/>
        <v>71328.577760000015</v>
      </c>
      <c r="G33" s="32">
        <f t="shared" si="20"/>
        <v>92979.493607680022</v>
      </c>
      <c r="H33" s="32">
        <f>SUM(H31:H32)</f>
        <v>122495.96454528003</v>
      </c>
    </row>
    <row r="35" spans="1:8" x14ac:dyDescent="0.4">
      <c r="B35" s="46" t="s">
        <v>27</v>
      </c>
      <c r="C35" s="47">
        <f>SUM(C29,C33)</f>
        <v>99390</v>
      </c>
      <c r="D35" s="47">
        <f t="shared" ref="D35:H35" si="21">SUM(D29,D33)</f>
        <v>104010.31561643837</v>
      </c>
      <c r="E35" s="47">
        <f t="shared" si="21"/>
        <v>113022.0365369863</v>
      </c>
      <c r="F35" s="47">
        <f t="shared" si="21"/>
        <v>127912.3182531507</v>
      </c>
      <c r="G35" s="47">
        <f t="shared" si="21"/>
        <v>149682.93847343343</v>
      </c>
      <c r="H35" s="47">
        <f t="shared" si="21"/>
        <v>179132.37496237591</v>
      </c>
    </row>
    <row r="37" spans="1:8" x14ac:dyDescent="0.4">
      <c r="B37" s="8" t="s">
        <v>28</v>
      </c>
      <c r="C37" s="9">
        <f>C23-C35</f>
        <v>0</v>
      </c>
      <c r="D37" s="9">
        <f t="shared" ref="D37:H37" si="22">D23-D35</f>
        <v>0</v>
      </c>
      <c r="E37" s="9">
        <f t="shared" si="22"/>
        <v>0</v>
      </c>
      <c r="F37" s="9">
        <f t="shared" si="22"/>
        <v>0</v>
      </c>
      <c r="G37" s="9">
        <f t="shared" si="22"/>
        <v>0</v>
      </c>
      <c r="H37" s="9">
        <f t="shared" si="22"/>
        <v>0</v>
      </c>
    </row>
    <row r="39" spans="1:8" x14ac:dyDescent="0.4">
      <c r="A39" s="1" t="s">
        <v>1</v>
      </c>
      <c r="B39" s="45" t="s">
        <v>29</v>
      </c>
      <c r="C39" s="45"/>
      <c r="D39" s="45"/>
      <c r="E39" s="45"/>
      <c r="F39" s="45"/>
      <c r="G39" s="45"/>
      <c r="H39" s="45"/>
    </row>
    <row r="40" spans="1:8" x14ac:dyDescent="0.4">
      <c r="B40" s="1" t="s">
        <v>12</v>
      </c>
      <c r="C40" s="2"/>
      <c r="D40" s="2">
        <f>D14</f>
        <v>3918.4</v>
      </c>
      <c r="E40" s="2">
        <f t="shared" ref="E40:H40" si="23">E14</f>
        <v>9047.7119999999941</v>
      </c>
      <c r="F40" s="2">
        <f t="shared" si="23"/>
        <v>15375.548800000008</v>
      </c>
      <c r="G40" s="2">
        <f t="shared" si="23"/>
        <v>22790.437734400013</v>
      </c>
      <c r="H40" s="2">
        <f t="shared" si="23"/>
        <v>31069.969407999997</v>
      </c>
    </row>
    <row r="41" spans="1:8" x14ac:dyDescent="0.4">
      <c r="B41" s="1" t="s">
        <v>7</v>
      </c>
      <c r="C41" s="2"/>
      <c r="D41" s="2">
        <f>-D9</f>
        <v>7700</v>
      </c>
      <c r="E41" s="2">
        <f t="shared" ref="E41:H41" si="24">-E9</f>
        <v>8948</v>
      </c>
      <c r="F41" s="2">
        <f t="shared" si="24"/>
        <v>10245.92</v>
      </c>
      <c r="G41" s="2">
        <f t="shared" si="24"/>
        <v>11595.756799999999</v>
      </c>
      <c r="H41" s="2">
        <f t="shared" si="24"/>
        <v>12999.587072</v>
      </c>
    </row>
    <row r="42" spans="1:8" x14ac:dyDescent="0.4">
      <c r="B42" s="1" t="s">
        <v>30</v>
      </c>
      <c r="D42" s="2">
        <f>C19-D19</f>
        <v>-1578.2054794520536</v>
      </c>
      <c r="E42" s="2">
        <f t="shared" ref="E42:H42" si="25">D19-E19</f>
        <v>-1655.2328767123272</v>
      </c>
      <c r="F42" s="2">
        <f t="shared" si="25"/>
        <v>-1680.061369863015</v>
      </c>
      <c r="G42" s="2">
        <f t="shared" si="25"/>
        <v>-1641.6599671232889</v>
      </c>
      <c r="H42" s="2">
        <f t="shared" si="25"/>
        <v>-1532.2159693150697</v>
      </c>
    </row>
    <row r="43" spans="1:8" x14ac:dyDescent="0.4">
      <c r="B43" s="1" t="s">
        <v>31</v>
      </c>
      <c r="D43" s="2">
        <f>C20-D20</f>
        <v>-782.47945205479482</v>
      </c>
      <c r="E43" s="2">
        <f t="shared" ref="E43:H43" si="26">D20-E20</f>
        <v>-594.84931506849171</v>
      </c>
      <c r="F43" s="2">
        <f t="shared" si="26"/>
        <v>-405.01479452054627</v>
      </c>
      <c r="G43" s="2">
        <f t="shared" si="26"/>
        <v>-171.00624657534354</v>
      </c>
      <c r="H43" s="2">
        <f t="shared" si="26"/>
        <v>95.763498082189471</v>
      </c>
    </row>
    <row r="44" spans="1:8" x14ac:dyDescent="0.4">
      <c r="B44" s="1" t="s">
        <v>32</v>
      </c>
      <c r="D44" s="2">
        <f>D25-C25</f>
        <v>897.83561643835583</v>
      </c>
      <c r="E44" s="2">
        <f t="shared" ref="E44:H44" si="27">E25-D25</f>
        <v>416.39452054794492</v>
      </c>
      <c r="F44" s="2">
        <f t="shared" si="27"/>
        <v>283.51035616438276</v>
      </c>
      <c r="G44" s="2">
        <f t="shared" si="27"/>
        <v>119.70437260273957</v>
      </c>
      <c r="H44" s="2">
        <f t="shared" si="27"/>
        <v>-67.034448657532266</v>
      </c>
    </row>
    <row r="45" spans="1:8" x14ac:dyDescent="0.4">
      <c r="B45" s="6" t="s">
        <v>33</v>
      </c>
      <c r="C45" s="6"/>
      <c r="D45" s="7">
        <f>SUM(D40:D44)</f>
        <v>10155.550684931506</v>
      </c>
      <c r="E45" s="7">
        <f t="shared" ref="E45:H45" si="28">SUM(E40:E44)</f>
        <v>16162.024328767118</v>
      </c>
      <c r="F45" s="7">
        <f t="shared" si="28"/>
        <v>23819.902991780829</v>
      </c>
      <c r="G45" s="7">
        <f t="shared" si="28"/>
        <v>32693.232693304119</v>
      </c>
      <c r="H45" s="7">
        <f t="shared" si="28"/>
        <v>42566.069560109587</v>
      </c>
    </row>
    <row r="47" spans="1:8" x14ac:dyDescent="0.4">
      <c r="B47" s="1" t="s">
        <v>34</v>
      </c>
      <c r="D47" s="2">
        <f>-D78</f>
        <v>-12000</v>
      </c>
      <c r="E47" s="2">
        <f t="shared" ref="E47:H47" si="29">-E78</f>
        <v>-12480</v>
      </c>
      <c r="F47" s="2">
        <f t="shared" si="29"/>
        <v>-12979.2</v>
      </c>
      <c r="G47" s="2">
        <f t="shared" si="29"/>
        <v>-13498.368</v>
      </c>
      <c r="H47" s="2">
        <f t="shared" si="29"/>
        <v>-14038.30272</v>
      </c>
    </row>
    <row r="48" spans="1:8" x14ac:dyDescent="0.4">
      <c r="B48" s="6" t="s">
        <v>35</v>
      </c>
      <c r="C48" s="6"/>
      <c r="D48" s="7">
        <f>D47</f>
        <v>-12000</v>
      </c>
      <c r="E48" s="7">
        <f t="shared" ref="E48:H48" si="30">E47</f>
        <v>-12480</v>
      </c>
      <c r="F48" s="7">
        <f t="shared" si="30"/>
        <v>-12979.2</v>
      </c>
      <c r="G48" s="7">
        <f t="shared" si="30"/>
        <v>-13498.368</v>
      </c>
      <c r="H48" s="7">
        <f t="shared" si="30"/>
        <v>-14038.30272</v>
      </c>
    </row>
    <row r="50" spans="1:8" x14ac:dyDescent="0.4">
      <c r="B50" s="1" t="s">
        <v>36</v>
      </c>
      <c r="D50" s="2">
        <f>D31-C31</f>
        <v>0</v>
      </c>
      <c r="E50" s="2">
        <f t="shared" ref="E50:H50" si="31">E31-D31</f>
        <v>0</v>
      </c>
      <c r="F50" s="2">
        <f t="shared" si="31"/>
        <v>0</v>
      </c>
      <c r="G50" s="2">
        <f t="shared" si="31"/>
        <v>0</v>
      </c>
      <c r="H50" s="2">
        <f t="shared" si="31"/>
        <v>0</v>
      </c>
    </row>
    <row r="51" spans="1:8" x14ac:dyDescent="0.4">
      <c r="B51" s="1" t="s">
        <v>37</v>
      </c>
      <c r="D51" s="2">
        <f>D103</f>
        <v>-195.92000000000002</v>
      </c>
      <c r="E51" s="2">
        <f t="shared" ref="E51:H51" si="32">E103</f>
        <v>-452.38559999999973</v>
      </c>
      <c r="F51" s="2">
        <f t="shared" si="32"/>
        <v>-768.77744000000041</v>
      </c>
      <c r="G51" s="2">
        <f t="shared" si="32"/>
        <v>-1139.5218867200008</v>
      </c>
      <c r="H51" s="2">
        <f t="shared" si="32"/>
        <v>-1553.4984703999999</v>
      </c>
    </row>
    <row r="52" spans="1:8" x14ac:dyDescent="0.4">
      <c r="B52" s="6" t="s">
        <v>38</v>
      </c>
      <c r="C52" s="6"/>
      <c r="D52" s="7">
        <f>SUM(D50:D51)</f>
        <v>-195.92000000000002</v>
      </c>
      <c r="E52" s="7">
        <f t="shared" ref="E52:H52" si="33">SUM(E50:E51)</f>
        <v>-452.38559999999973</v>
      </c>
      <c r="F52" s="7">
        <f t="shared" si="33"/>
        <v>-768.77744000000041</v>
      </c>
      <c r="G52" s="7">
        <f t="shared" si="33"/>
        <v>-1139.5218867200008</v>
      </c>
      <c r="H52" s="7">
        <f t="shared" si="33"/>
        <v>-1553.4984703999999</v>
      </c>
    </row>
    <row r="54" spans="1:8" x14ac:dyDescent="0.4">
      <c r="B54" s="1" t="s">
        <v>39</v>
      </c>
      <c r="D54" s="2">
        <f>C18</f>
        <v>18000</v>
      </c>
      <c r="E54" s="2">
        <f t="shared" ref="E54:H54" si="34">D18</f>
        <v>15959.630684931506</v>
      </c>
      <c r="F54" s="2">
        <f t="shared" si="34"/>
        <v>19189.269413698625</v>
      </c>
      <c r="G54" s="2">
        <f t="shared" si="34"/>
        <v>29261.194965479452</v>
      </c>
      <c r="H54" s="2">
        <f t="shared" si="34"/>
        <v>47316.537772063566</v>
      </c>
    </row>
    <row r="55" spans="1:8" x14ac:dyDescent="0.4">
      <c r="B55" s="46" t="s">
        <v>40</v>
      </c>
      <c r="C55" s="47"/>
      <c r="D55" s="47">
        <f>SUM(D45,D48,D52)</f>
        <v>-2040.369315068494</v>
      </c>
      <c r="E55" s="47">
        <f t="shared" ref="E55:H55" si="35">SUM(E45,E48,E52)</f>
        <v>3229.6387287671187</v>
      </c>
      <c r="F55" s="47">
        <f t="shared" si="35"/>
        <v>10071.925551780829</v>
      </c>
      <c r="G55" s="47">
        <f t="shared" si="35"/>
        <v>18055.342806584114</v>
      </c>
      <c r="H55" s="47">
        <f t="shared" si="35"/>
        <v>26974.268369709585</v>
      </c>
    </row>
    <row r="56" spans="1:8" x14ac:dyDescent="0.4">
      <c r="B56" s="1" t="s">
        <v>41</v>
      </c>
      <c r="D56" s="2">
        <f>SUM(D54:D55)</f>
        <v>15959.630684931506</v>
      </c>
      <c r="E56" s="2">
        <f t="shared" ref="E56:H56" si="36">SUM(E54:E55)</f>
        <v>19189.269413698625</v>
      </c>
      <c r="F56" s="2">
        <f t="shared" si="36"/>
        <v>29261.194965479452</v>
      </c>
      <c r="G56" s="2">
        <f t="shared" si="36"/>
        <v>47316.537772063566</v>
      </c>
      <c r="H56" s="2">
        <f t="shared" si="36"/>
        <v>74290.806141773151</v>
      </c>
    </row>
    <row r="57" spans="1:8" x14ac:dyDescent="0.4">
      <c r="B57" s="10"/>
      <c r="C57" s="11"/>
      <c r="D57" s="11"/>
      <c r="E57" s="11"/>
      <c r="F57" s="11"/>
      <c r="G57" s="11"/>
      <c r="H57" s="11"/>
    </row>
    <row r="58" spans="1:8" x14ac:dyDescent="0.4">
      <c r="A58" s="1" t="s">
        <v>1</v>
      </c>
      <c r="B58" s="45" t="s">
        <v>42</v>
      </c>
      <c r="C58" s="45"/>
      <c r="D58" s="45"/>
      <c r="E58" s="45"/>
      <c r="F58" s="45"/>
      <c r="G58" s="45"/>
      <c r="H58" s="45"/>
    </row>
    <row r="59" spans="1:8" x14ac:dyDescent="0.4">
      <c r="B59" s="51" t="s">
        <v>43</v>
      </c>
      <c r="C59" s="52"/>
      <c r="D59" s="52"/>
      <c r="E59" s="52"/>
      <c r="F59" s="52"/>
      <c r="G59" s="52"/>
      <c r="H59" s="52"/>
    </row>
    <row r="60" spans="1:8" x14ac:dyDescent="0.4">
      <c r="B60" s="1" t="s">
        <v>3</v>
      </c>
      <c r="D60" s="34">
        <v>0.18</v>
      </c>
      <c r="E60" s="34">
        <v>0.16</v>
      </c>
      <c r="F60" s="34">
        <v>0.14000000000000001</v>
      </c>
      <c r="G60" s="34">
        <v>0.12</v>
      </c>
      <c r="H60" s="34">
        <v>0.1</v>
      </c>
    </row>
    <row r="62" spans="1:8" x14ac:dyDescent="0.4">
      <c r="B62" s="1" t="s">
        <v>44</v>
      </c>
      <c r="C62" s="13"/>
      <c r="D62" s="36">
        <f>-C6/C5</f>
        <v>0.65</v>
      </c>
      <c r="E62" s="36">
        <f>D62-0.05</f>
        <v>0.6</v>
      </c>
      <c r="F62" s="36">
        <f t="shared" ref="F62:H62" si="37">E62-0.05</f>
        <v>0.54999999999999993</v>
      </c>
      <c r="G62" s="36">
        <f t="shared" si="37"/>
        <v>0.49999999999999994</v>
      </c>
      <c r="H62" s="36">
        <f t="shared" si="37"/>
        <v>0.44999999999999996</v>
      </c>
    </row>
    <row r="63" spans="1:8" x14ac:dyDescent="0.4">
      <c r="B63" s="1" t="s">
        <v>45</v>
      </c>
      <c r="C63" s="13"/>
      <c r="D63" s="36">
        <f>-C8/C5</f>
        <v>0.2</v>
      </c>
      <c r="E63" s="37">
        <f>D63</f>
        <v>0.2</v>
      </c>
      <c r="F63" s="37">
        <f t="shared" ref="F63:H63" si="38">E63</f>
        <v>0.2</v>
      </c>
      <c r="G63" s="37">
        <f t="shared" si="38"/>
        <v>0.2</v>
      </c>
      <c r="H63" s="37">
        <f t="shared" si="38"/>
        <v>0.2</v>
      </c>
    </row>
    <row r="64" spans="1:8" x14ac:dyDescent="0.4">
      <c r="C64" s="15"/>
      <c r="D64" s="16"/>
      <c r="E64" s="16"/>
      <c r="F64" s="16"/>
      <c r="G64" s="16"/>
      <c r="H64" s="16"/>
    </row>
    <row r="65" spans="1:9" x14ac:dyDescent="0.4">
      <c r="B65" s="1" t="s">
        <v>46</v>
      </c>
      <c r="C65" s="14">
        <v>0.21</v>
      </c>
      <c r="D65" s="14">
        <v>0.21</v>
      </c>
      <c r="E65" s="14">
        <v>0.21</v>
      </c>
      <c r="F65" s="14">
        <v>0.21</v>
      </c>
      <c r="G65" s="14">
        <v>0.21</v>
      </c>
      <c r="H65" s="14">
        <v>0.21</v>
      </c>
    </row>
    <row r="67" spans="1:9" x14ac:dyDescent="0.4">
      <c r="B67" s="51" t="s">
        <v>100</v>
      </c>
      <c r="C67" s="52"/>
      <c r="D67" s="52"/>
      <c r="E67" s="52"/>
      <c r="F67" s="52"/>
      <c r="G67" s="52"/>
      <c r="H67" s="52"/>
    </row>
    <row r="68" spans="1:9" x14ac:dyDescent="0.4">
      <c r="B68" s="1" t="s">
        <v>3</v>
      </c>
      <c r="C68" s="38">
        <f t="shared" ref="C68:H68" si="39">C5</f>
        <v>80000</v>
      </c>
      <c r="D68" s="38">
        <f t="shared" si="39"/>
        <v>94400</v>
      </c>
      <c r="E68" s="38">
        <f t="shared" si="39"/>
        <v>109503.99999999999</v>
      </c>
      <c r="F68" s="38">
        <f t="shared" si="39"/>
        <v>124834.56</v>
      </c>
      <c r="G68" s="38">
        <f t="shared" si="39"/>
        <v>139814.7072</v>
      </c>
      <c r="H68" s="38">
        <f t="shared" si="39"/>
        <v>153796.17792000002</v>
      </c>
    </row>
    <row r="69" spans="1:9" x14ac:dyDescent="0.4">
      <c r="B69" s="1" t="s">
        <v>47</v>
      </c>
      <c r="C69" s="38">
        <f t="shared" ref="C69:H69" si="40">-C6</f>
        <v>52000</v>
      </c>
      <c r="D69" s="38">
        <f t="shared" si="40"/>
        <v>61360</v>
      </c>
      <c r="E69" s="38">
        <f t="shared" si="40"/>
        <v>65702.399999999994</v>
      </c>
      <c r="F69" s="38">
        <f t="shared" si="40"/>
        <v>68659.007999999987</v>
      </c>
      <c r="G69" s="38">
        <f t="shared" si="40"/>
        <v>69907.353599999988</v>
      </c>
      <c r="H69" s="38">
        <f t="shared" si="40"/>
        <v>69208.280064000006</v>
      </c>
    </row>
    <row r="70" spans="1:9" x14ac:dyDescent="0.4">
      <c r="B70" s="10"/>
    </row>
    <row r="71" spans="1:9" x14ac:dyDescent="0.4">
      <c r="B71" s="1" t="s">
        <v>97</v>
      </c>
      <c r="C71" s="15"/>
      <c r="D71" s="12">
        <v>40</v>
      </c>
      <c r="E71" s="12">
        <v>40</v>
      </c>
      <c r="F71" s="12">
        <v>40</v>
      </c>
      <c r="G71" s="12">
        <v>40</v>
      </c>
      <c r="H71" s="12">
        <v>40</v>
      </c>
      <c r="I71" s="51" t="s">
        <v>101</v>
      </c>
    </row>
    <row r="72" spans="1:9" x14ac:dyDescent="0.4">
      <c r="B72" s="1" t="s">
        <v>98</v>
      </c>
      <c r="C72" s="15"/>
      <c r="D72" s="44">
        <v>50</v>
      </c>
      <c r="E72" s="44">
        <v>50</v>
      </c>
      <c r="F72" s="44">
        <v>50</v>
      </c>
      <c r="G72" s="44">
        <v>50</v>
      </c>
      <c r="H72" s="44">
        <v>50</v>
      </c>
      <c r="I72" s="51" t="s">
        <v>102</v>
      </c>
    </row>
    <row r="73" spans="1:9" x14ac:dyDescent="0.4">
      <c r="B73" s="1" t="s">
        <v>99</v>
      </c>
      <c r="C73" s="15"/>
      <c r="D73" s="12">
        <v>35</v>
      </c>
      <c r="E73" s="12">
        <v>35</v>
      </c>
      <c r="F73" s="12">
        <v>35</v>
      </c>
      <c r="G73" s="12">
        <v>35</v>
      </c>
      <c r="H73" s="12">
        <v>35</v>
      </c>
      <c r="I73" s="51" t="s">
        <v>103</v>
      </c>
    </row>
    <row r="74" spans="1:9" x14ac:dyDescent="0.4">
      <c r="D74" s="43"/>
      <c r="E74" s="43"/>
      <c r="F74" s="43"/>
      <c r="G74" s="43"/>
      <c r="H74" s="43"/>
    </row>
    <row r="75" spans="1:9" x14ac:dyDescent="0.4">
      <c r="B75" s="1" t="s">
        <v>48</v>
      </c>
      <c r="C75" s="2"/>
      <c r="D75" s="5">
        <v>1500</v>
      </c>
      <c r="E75" s="5">
        <v>1500</v>
      </c>
      <c r="F75" s="5">
        <v>1500</v>
      </c>
      <c r="G75" s="5">
        <v>1500</v>
      </c>
      <c r="H75" s="5">
        <v>1500</v>
      </c>
    </row>
    <row r="76" spans="1:9" x14ac:dyDescent="0.4">
      <c r="B76" s="10"/>
      <c r="C76" s="11"/>
      <c r="D76" s="11"/>
      <c r="E76" s="11"/>
      <c r="F76" s="11"/>
      <c r="G76" s="11"/>
      <c r="H76" s="11"/>
    </row>
    <row r="77" spans="1:9" x14ac:dyDescent="0.4">
      <c r="A77" s="1" t="s">
        <v>1</v>
      </c>
      <c r="B77" s="45" t="s">
        <v>96</v>
      </c>
      <c r="C77" s="45"/>
      <c r="D77" s="45"/>
      <c r="E77" s="45"/>
      <c r="F77" s="45"/>
      <c r="G77" s="45"/>
      <c r="H77" s="45"/>
    </row>
    <row r="78" spans="1:9" x14ac:dyDescent="0.4">
      <c r="B78" s="1" t="s">
        <v>49</v>
      </c>
      <c r="D78" s="5">
        <v>12000</v>
      </c>
      <c r="E78" s="5">
        <f>D78+(D78*0.04)</f>
        <v>12480</v>
      </c>
      <c r="F78" s="5">
        <f t="shared" ref="F78:H78" si="41">E78+(E78*0.04)</f>
        <v>12979.2</v>
      </c>
      <c r="G78" s="5">
        <f t="shared" si="41"/>
        <v>13498.368</v>
      </c>
      <c r="H78" s="5">
        <f t="shared" si="41"/>
        <v>14038.30272</v>
      </c>
    </row>
    <row r="80" spans="1:9" x14ac:dyDescent="0.4">
      <c r="B80" s="1" t="s">
        <v>50</v>
      </c>
      <c r="C80" s="17">
        <v>10</v>
      </c>
    </row>
    <row r="81" spans="2:8" x14ac:dyDescent="0.4">
      <c r="B81" s="1" t="s">
        <v>51</v>
      </c>
      <c r="C81" s="17">
        <v>10</v>
      </c>
    </row>
    <row r="82" spans="2:8" x14ac:dyDescent="0.4">
      <c r="B82" s="1" t="s">
        <v>52</v>
      </c>
      <c r="C82" s="2">
        <f>'Financial Statement'!C22</f>
        <v>65000</v>
      </c>
    </row>
    <row r="84" spans="2:8" x14ac:dyDescent="0.4">
      <c r="C84" s="10" t="s">
        <v>49</v>
      </c>
      <c r="D84" s="10">
        <v>2024</v>
      </c>
      <c r="E84" s="10">
        <v>2025</v>
      </c>
      <c r="F84" s="10">
        <v>2026</v>
      </c>
      <c r="G84" s="10">
        <v>2027</v>
      </c>
      <c r="H84" s="10">
        <v>2028</v>
      </c>
    </row>
    <row r="85" spans="2:8" x14ac:dyDescent="0.4">
      <c r="C85" s="2" cm="1">
        <f t="array" ref="C85:C89">TRANSPOSE(D78:H78)</f>
        <v>12000</v>
      </c>
      <c r="D85" s="2">
        <f>$C85/$C$81</f>
        <v>1200</v>
      </c>
      <c r="E85" s="2">
        <f>$C85/$C$81</f>
        <v>1200</v>
      </c>
      <c r="F85" s="2">
        <f>$C85/$C$81</f>
        <v>1200</v>
      </c>
      <c r="G85" s="2">
        <f>$C85/$C$81</f>
        <v>1200</v>
      </c>
      <c r="H85" s="2">
        <f>$C85/$C$81</f>
        <v>1200</v>
      </c>
    </row>
    <row r="86" spans="2:8" x14ac:dyDescent="0.4">
      <c r="C86" s="2">
        <v>12480</v>
      </c>
      <c r="D86" s="2"/>
      <c r="E86" s="2">
        <f>$C86/$C$81</f>
        <v>1248</v>
      </c>
      <c r="F86" s="2">
        <f>$C86/$C$81</f>
        <v>1248</v>
      </c>
      <c r="G86" s="2">
        <f>$C86/$C$81</f>
        <v>1248</v>
      </c>
      <c r="H86" s="2">
        <f>$C86/$C$81</f>
        <v>1248</v>
      </c>
    </row>
    <row r="87" spans="2:8" x14ac:dyDescent="0.4">
      <c r="C87" s="2">
        <v>12979.2</v>
      </c>
      <c r="D87" s="2"/>
      <c r="E87" s="2"/>
      <c r="F87" s="2">
        <f>$C87/$C$81</f>
        <v>1297.92</v>
      </c>
      <c r="G87" s="2">
        <f>$C87/$C$81</f>
        <v>1297.92</v>
      </c>
      <c r="H87" s="2">
        <f>$C87/$C$81</f>
        <v>1297.92</v>
      </c>
    </row>
    <row r="88" spans="2:8" x14ac:dyDescent="0.4">
      <c r="C88" s="2">
        <v>13498.368</v>
      </c>
      <c r="D88" s="2"/>
      <c r="E88" s="2"/>
      <c r="F88" s="2"/>
      <c r="G88" s="2">
        <f>$C88/$C$81</f>
        <v>1349.8368</v>
      </c>
      <c r="H88" s="2">
        <f>$C88/$C$81</f>
        <v>1349.8368</v>
      </c>
    </row>
    <row r="89" spans="2:8" x14ac:dyDescent="0.4">
      <c r="C89" s="2">
        <v>14038.30272</v>
      </c>
      <c r="D89" s="2"/>
      <c r="E89" s="2"/>
      <c r="F89" s="2"/>
      <c r="G89" s="2"/>
      <c r="H89" s="2">
        <f>$C89/$C$81</f>
        <v>1403.8302719999999</v>
      </c>
    </row>
    <row r="91" spans="2:8" x14ac:dyDescent="0.4">
      <c r="B91" s="1" t="s">
        <v>53</v>
      </c>
      <c r="C91" s="1">
        <f>$C$82*0.1</f>
        <v>6500</v>
      </c>
      <c r="D91" s="1">
        <f t="shared" ref="D91:H91" si="42">$C$82*0.1</f>
        <v>6500</v>
      </c>
      <c r="E91" s="1">
        <f t="shared" si="42"/>
        <v>6500</v>
      </c>
      <c r="F91" s="1">
        <f t="shared" si="42"/>
        <v>6500</v>
      </c>
      <c r="G91" s="1">
        <f t="shared" si="42"/>
        <v>6500</v>
      </c>
      <c r="H91" s="1">
        <f t="shared" si="42"/>
        <v>6500</v>
      </c>
    </row>
    <row r="92" spans="2:8" x14ac:dyDescent="0.4">
      <c r="B92" s="1" t="s">
        <v>54</v>
      </c>
      <c r="D92" s="2">
        <f>SUM(D85:D89)</f>
        <v>1200</v>
      </c>
      <c r="E92" s="2">
        <f t="shared" ref="E92:H92" si="43">SUM(E85:E89)</f>
        <v>2448</v>
      </c>
      <c r="F92" s="2">
        <f t="shared" si="43"/>
        <v>3745.92</v>
      </c>
      <c r="G92" s="2">
        <f t="shared" si="43"/>
        <v>5095.7568000000001</v>
      </c>
      <c r="H92" s="2">
        <f t="shared" si="43"/>
        <v>6499.5870720000003</v>
      </c>
    </row>
    <row r="93" spans="2:8" x14ac:dyDescent="0.4">
      <c r="B93" s="6" t="s">
        <v>55</v>
      </c>
      <c r="C93" s="6"/>
      <c r="D93" s="7">
        <f>SUM(D91:D92)</f>
        <v>7700</v>
      </c>
      <c r="E93" s="7">
        <f t="shared" ref="E93:H93" si="44">SUM(E91:E92)</f>
        <v>8948</v>
      </c>
      <c r="F93" s="7">
        <f t="shared" si="44"/>
        <v>10245.92</v>
      </c>
      <c r="G93" s="7">
        <f t="shared" si="44"/>
        <v>11595.756799999999</v>
      </c>
      <c r="H93" s="7">
        <f t="shared" si="44"/>
        <v>12999.587072</v>
      </c>
    </row>
    <row r="95" spans="2:8" x14ac:dyDescent="0.4">
      <c r="B95" s="1" t="s">
        <v>56</v>
      </c>
      <c r="D95" s="2">
        <f>C98</f>
        <v>65000</v>
      </c>
      <c r="E95" s="2">
        <f t="shared" ref="E95:H95" si="45">D98</f>
        <v>69300</v>
      </c>
      <c r="F95" s="2">
        <f t="shared" si="45"/>
        <v>72832</v>
      </c>
      <c r="G95" s="2">
        <f t="shared" si="45"/>
        <v>75565.279999999999</v>
      </c>
      <c r="H95" s="2">
        <f t="shared" si="45"/>
        <v>77467.891199999998</v>
      </c>
    </row>
    <row r="96" spans="2:8" x14ac:dyDescent="0.4">
      <c r="B96" s="1" t="s">
        <v>49</v>
      </c>
      <c r="D96" s="2">
        <f>D78</f>
        <v>12000</v>
      </c>
      <c r="E96" s="2">
        <f t="shared" ref="E96:H96" si="46">E78</f>
        <v>12480</v>
      </c>
      <c r="F96" s="2">
        <f t="shared" si="46"/>
        <v>12979.2</v>
      </c>
      <c r="G96" s="2">
        <f t="shared" si="46"/>
        <v>13498.368</v>
      </c>
      <c r="H96" s="2">
        <f t="shared" si="46"/>
        <v>14038.30272</v>
      </c>
    </row>
    <row r="97" spans="1:8" x14ac:dyDescent="0.4">
      <c r="B97" s="1" t="s">
        <v>7</v>
      </c>
      <c r="D97" s="2">
        <f>-D93</f>
        <v>-7700</v>
      </c>
      <c r="E97" s="2">
        <f t="shared" ref="E97:H97" si="47">-E93</f>
        <v>-8948</v>
      </c>
      <c r="F97" s="2">
        <f t="shared" si="47"/>
        <v>-10245.92</v>
      </c>
      <c r="G97" s="2">
        <f t="shared" si="47"/>
        <v>-11595.756799999999</v>
      </c>
      <c r="H97" s="2">
        <f t="shared" si="47"/>
        <v>-12999.587072</v>
      </c>
    </row>
    <row r="98" spans="1:8" x14ac:dyDescent="0.4">
      <c r="B98" s="3" t="s">
        <v>57</v>
      </c>
      <c r="C98" s="4">
        <f>C82</f>
        <v>65000</v>
      </c>
      <c r="D98" s="4">
        <f>SUM(D95:D97)</f>
        <v>69300</v>
      </c>
      <c r="E98" s="4">
        <f t="shared" ref="E98:H98" si="48">SUM(E95:E97)</f>
        <v>72832</v>
      </c>
      <c r="F98" s="4">
        <f t="shared" si="48"/>
        <v>75565.279999999999</v>
      </c>
      <c r="G98" s="4">
        <f t="shared" si="48"/>
        <v>77467.891199999998</v>
      </c>
      <c r="H98" s="4">
        <f t="shared" si="48"/>
        <v>78506.606847999996</v>
      </c>
    </row>
    <row r="100" spans="1:8" x14ac:dyDescent="0.4">
      <c r="A100" s="1" t="s">
        <v>1</v>
      </c>
      <c r="B100" s="51" t="s">
        <v>58</v>
      </c>
      <c r="C100" s="52"/>
      <c r="D100" s="52"/>
      <c r="E100" s="52"/>
      <c r="F100" s="52"/>
      <c r="G100" s="52"/>
      <c r="H100" s="52"/>
    </row>
    <row r="101" spans="1:8" x14ac:dyDescent="0.4">
      <c r="B101" s="1" t="s">
        <v>59</v>
      </c>
      <c r="C101" s="2"/>
      <c r="D101" s="2">
        <f>C104</f>
        <v>14404</v>
      </c>
      <c r="E101" s="2">
        <f t="shared" ref="E101:H101" si="49">D104</f>
        <v>18126.480000000003</v>
      </c>
      <c r="F101" s="2">
        <f t="shared" si="49"/>
        <v>26721.806399999994</v>
      </c>
      <c r="G101" s="2">
        <f t="shared" si="49"/>
        <v>41328.577760000007</v>
      </c>
      <c r="H101" s="2">
        <f t="shared" si="49"/>
        <v>62979.493607680022</v>
      </c>
    </row>
    <row r="102" spans="1:8" x14ac:dyDescent="0.4">
      <c r="B102" s="1" t="s">
        <v>12</v>
      </c>
      <c r="C102" s="2"/>
      <c r="D102" s="2">
        <f>D14</f>
        <v>3918.4</v>
      </c>
      <c r="E102" s="2">
        <f t="shared" ref="E102:H102" si="50">E14</f>
        <v>9047.7119999999941</v>
      </c>
      <c r="F102" s="2">
        <f t="shared" si="50"/>
        <v>15375.548800000008</v>
      </c>
      <c r="G102" s="2">
        <f t="shared" si="50"/>
        <v>22790.437734400013</v>
      </c>
      <c r="H102" s="2">
        <f t="shared" si="50"/>
        <v>31069.969407999997</v>
      </c>
    </row>
    <row r="103" spans="1:8" x14ac:dyDescent="0.4">
      <c r="B103" s="1" t="s">
        <v>37</v>
      </c>
      <c r="C103" s="2"/>
      <c r="D103" s="38">
        <f>-D14*0.05</f>
        <v>-195.92000000000002</v>
      </c>
      <c r="E103" s="38">
        <f t="shared" ref="E103:H103" si="51">-E14*0.05</f>
        <v>-452.38559999999973</v>
      </c>
      <c r="F103" s="38">
        <f t="shared" si="51"/>
        <v>-768.77744000000041</v>
      </c>
      <c r="G103" s="38">
        <f t="shared" si="51"/>
        <v>-1139.5218867200008</v>
      </c>
      <c r="H103" s="38">
        <f t="shared" si="51"/>
        <v>-1553.4984703999999</v>
      </c>
    </row>
    <row r="104" spans="1:8" x14ac:dyDescent="0.4">
      <c r="B104" s="6" t="s">
        <v>60</v>
      </c>
      <c r="C104" s="7">
        <f>C32</f>
        <v>14404</v>
      </c>
      <c r="D104" s="7">
        <f>SUM(D101:D103)</f>
        <v>18126.480000000003</v>
      </c>
      <c r="E104" s="7">
        <f t="shared" ref="E104:H104" si="52">SUM(E101:E103)</f>
        <v>26721.806399999994</v>
      </c>
      <c r="F104" s="7">
        <f t="shared" si="52"/>
        <v>41328.577760000007</v>
      </c>
      <c r="G104" s="7">
        <f t="shared" si="52"/>
        <v>62979.493607680022</v>
      </c>
      <c r="H104" s="7">
        <f t="shared" si="52"/>
        <v>92495.964545280032</v>
      </c>
    </row>
    <row r="113" s="10" customFormat="1" x14ac:dyDescent="0.4"/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5968-50F3-4C52-8527-77E78E3AD4AC}">
  <dimension ref="C3:O47"/>
  <sheetViews>
    <sheetView topLeftCell="K1" zoomScale="85" zoomScaleNormal="85" workbookViewId="0">
      <selection activeCell="O25" sqref="O25"/>
    </sheetView>
  </sheetViews>
  <sheetFormatPr defaultRowHeight="14.5" x14ac:dyDescent="0.35"/>
  <cols>
    <col min="3" max="3" width="40.54296875" bestFit="1" customWidth="1"/>
    <col min="4" max="4" width="24.7265625" bestFit="1" customWidth="1"/>
    <col min="7" max="7" width="27.54296875" bestFit="1" customWidth="1"/>
    <col min="8" max="8" width="31.26953125" bestFit="1" customWidth="1"/>
    <col min="10" max="10" width="30.26953125" bestFit="1" customWidth="1"/>
    <col min="11" max="11" width="31.26953125" bestFit="1" customWidth="1"/>
    <col min="15" max="15" width="145.453125" bestFit="1" customWidth="1"/>
  </cols>
  <sheetData>
    <row r="3" spans="3:15" x14ac:dyDescent="0.35">
      <c r="C3" s="18" t="s">
        <v>62</v>
      </c>
      <c r="D3" t="s">
        <v>74</v>
      </c>
    </row>
    <row r="4" spans="3:15" hidden="1" x14ac:dyDescent="0.35">
      <c r="C4" s="19"/>
    </row>
    <row r="5" spans="3:15" ht="18.5" x14ac:dyDescent="0.45">
      <c r="C5" s="20" t="s">
        <v>63</v>
      </c>
      <c r="D5" s="21">
        <v>80000</v>
      </c>
      <c r="G5" s="22" t="s">
        <v>62</v>
      </c>
      <c r="H5" s="22" t="s">
        <v>75</v>
      </c>
      <c r="J5" s="22" t="s">
        <v>62</v>
      </c>
      <c r="K5" s="23" t="s">
        <v>75</v>
      </c>
      <c r="O5" s="27" t="s">
        <v>76</v>
      </c>
    </row>
    <row r="6" spans="3:15" ht="18.5" hidden="1" x14ac:dyDescent="0.45">
      <c r="C6" s="19"/>
      <c r="G6" s="24"/>
      <c r="H6" s="23"/>
      <c r="J6" s="24"/>
      <c r="K6" s="23"/>
    </row>
    <row r="7" spans="3:15" ht="18.5" x14ac:dyDescent="0.45">
      <c r="C7" s="20" t="s">
        <v>4</v>
      </c>
      <c r="D7" t="s">
        <v>64</v>
      </c>
      <c r="G7" s="25" t="s">
        <v>63</v>
      </c>
      <c r="H7" s="26">
        <v>80000</v>
      </c>
      <c r="J7" s="25" t="s">
        <v>63</v>
      </c>
      <c r="K7" s="26">
        <v>80000</v>
      </c>
      <c r="O7" s="28" t="s">
        <v>93</v>
      </c>
    </row>
    <row r="8" spans="3:15" ht="18.5" hidden="1" x14ac:dyDescent="0.45">
      <c r="C8" s="19"/>
      <c r="G8" s="24"/>
      <c r="H8" s="23"/>
      <c r="J8" s="24"/>
      <c r="K8" s="23"/>
      <c r="O8" s="19"/>
    </row>
    <row r="9" spans="3:15" ht="18.5" x14ac:dyDescent="0.45">
      <c r="C9" s="20" t="s">
        <v>6</v>
      </c>
      <c r="D9" t="s">
        <v>65</v>
      </c>
      <c r="G9" s="25" t="s">
        <v>4</v>
      </c>
      <c r="H9" s="26">
        <v>52000</v>
      </c>
      <c r="J9" s="25" t="s">
        <v>4</v>
      </c>
      <c r="K9" s="23" t="s">
        <v>64</v>
      </c>
      <c r="O9" s="20" t="s">
        <v>77</v>
      </c>
    </row>
    <row r="10" spans="3:15" ht="18.5" hidden="1" x14ac:dyDescent="0.45">
      <c r="C10" s="19"/>
      <c r="G10" s="24"/>
      <c r="H10" s="23"/>
      <c r="J10" s="24"/>
      <c r="K10" s="23"/>
      <c r="O10" s="19"/>
    </row>
    <row r="11" spans="3:15" ht="18.5" x14ac:dyDescent="0.45">
      <c r="C11" s="20" t="s">
        <v>7</v>
      </c>
      <c r="D11" s="21">
        <v>3500</v>
      </c>
      <c r="G11" s="25" t="s">
        <v>6</v>
      </c>
      <c r="H11" s="26">
        <v>16000</v>
      </c>
      <c r="J11" s="25" t="s">
        <v>6</v>
      </c>
      <c r="K11" s="23" t="s">
        <v>65</v>
      </c>
      <c r="O11" s="20" t="s">
        <v>78</v>
      </c>
    </row>
    <row r="12" spans="3:15" ht="18.5" hidden="1" x14ac:dyDescent="0.45">
      <c r="C12" s="19"/>
      <c r="G12" s="24"/>
      <c r="H12" s="23"/>
      <c r="J12" s="24"/>
      <c r="K12" s="23"/>
      <c r="O12" s="19"/>
    </row>
    <row r="13" spans="3:15" ht="18.5" x14ac:dyDescent="0.45">
      <c r="C13" s="20" t="s">
        <v>48</v>
      </c>
      <c r="D13" t="s">
        <v>66</v>
      </c>
      <c r="G13" s="25" t="s">
        <v>7</v>
      </c>
      <c r="H13" s="26">
        <v>3500</v>
      </c>
      <c r="J13" s="25" t="s">
        <v>7</v>
      </c>
      <c r="K13" s="26">
        <v>3500</v>
      </c>
      <c r="O13" s="20" t="s">
        <v>79</v>
      </c>
    </row>
    <row r="14" spans="3:15" ht="18.5" hidden="1" x14ac:dyDescent="0.45">
      <c r="G14" s="24"/>
      <c r="H14" s="23"/>
      <c r="J14" s="24"/>
      <c r="K14" s="23"/>
      <c r="O14" s="19"/>
    </row>
    <row r="15" spans="3:15" ht="18.5" x14ac:dyDescent="0.45">
      <c r="C15" s="18" t="s">
        <v>67</v>
      </c>
      <c r="G15" s="25" t="s">
        <v>48</v>
      </c>
      <c r="H15" s="26">
        <v>3500</v>
      </c>
      <c r="J15" s="25" t="s">
        <v>48</v>
      </c>
      <c r="K15" s="23" t="s">
        <v>66</v>
      </c>
      <c r="O15" s="20" t="s">
        <v>80</v>
      </c>
    </row>
    <row r="16" spans="3:15" hidden="1" x14ac:dyDescent="0.35">
      <c r="C16" s="19"/>
      <c r="O16" s="19"/>
    </row>
    <row r="17" spans="3:15" ht="18.5" x14ac:dyDescent="0.45">
      <c r="C17" s="20" t="s">
        <v>68</v>
      </c>
      <c r="D17" s="21">
        <v>18000</v>
      </c>
      <c r="G17" s="22" t="s">
        <v>67</v>
      </c>
      <c r="H17" s="22" t="s">
        <v>75</v>
      </c>
      <c r="J17" s="22" t="s">
        <v>67</v>
      </c>
      <c r="K17" s="22" t="s">
        <v>75</v>
      </c>
      <c r="O17" s="20" t="s">
        <v>81</v>
      </c>
    </row>
    <row r="18" spans="3:15" ht="18.5" hidden="1" x14ac:dyDescent="0.45">
      <c r="C18" s="19"/>
      <c r="G18" s="24"/>
      <c r="H18" s="23"/>
      <c r="J18" s="24"/>
      <c r="K18" s="23"/>
      <c r="O18" s="19"/>
    </row>
    <row r="19" spans="3:15" ht="18.5" x14ac:dyDescent="0.45">
      <c r="C19" s="20" t="s">
        <v>15</v>
      </c>
      <c r="D19" t="s">
        <v>69</v>
      </c>
      <c r="G19" s="25" t="s">
        <v>68</v>
      </c>
      <c r="H19" s="26">
        <v>18000</v>
      </c>
      <c r="J19" s="25" t="s">
        <v>68</v>
      </c>
      <c r="K19" s="26">
        <v>18000</v>
      </c>
      <c r="O19" s="29"/>
    </row>
    <row r="20" spans="3:15" ht="18.5" hidden="1" x14ac:dyDescent="0.45">
      <c r="C20" s="19"/>
      <c r="G20" s="24"/>
      <c r="H20" s="23"/>
      <c r="J20" s="24"/>
      <c r="K20" s="23"/>
    </row>
    <row r="21" spans="3:15" ht="18.5" x14ac:dyDescent="0.45">
      <c r="C21" s="20" t="s">
        <v>16</v>
      </c>
      <c r="D21" t="s">
        <v>70</v>
      </c>
      <c r="G21" s="25" t="s">
        <v>15</v>
      </c>
      <c r="H21" s="26">
        <v>8767</v>
      </c>
      <c r="J21" s="25" t="s">
        <v>15</v>
      </c>
      <c r="K21" s="23" t="s">
        <v>69</v>
      </c>
      <c r="O21" s="28" t="s">
        <v>82</v>
      </c>
    </row>
    <row r="22" spans="3:15" ht="18.5" hidden="1" x14ac:dyDescent="0.45">
      <c r="C22" s="19"/>
      <c r="G22" s="24"/>
      <c r="H22" s="23"/>
      <c r="J22" s="24"/>
      <c r="K22" s="23"/>
      <c r="O22" s="19"/>
    </row>
    <row r="23" spans="3:15" ht="18.5" x14ac:dyDescent="0.45">
      <c r="C23" s="20" t="s">
        <v>71</v>
      </c>
      <c r="D23" s="21">
        <v>65000</v>
      </c>
      <c r="G23" s="25" t="s">
        <v>16</v>
      </c>
      <c r="H23" s="26">
        <v>7623</v>
      </c>
      <c r="J23" s="25" t="s">
        <v>16</v>
      </c>
      <c r="K23" s="23" t="s">
        <v>70</v>
      </c>
      <c r="O23" s="20" t="s">
        <v>94</v>
      </c>
    </row>
    <row r="24" spans="3:15" ht="18.5" hidden="1" x14ac:dyDescent="0.45">
      <c r="C24" s="19"/>
      <c r="G24" s="24"/>
      <c r="H24" s="23"/>
      <c r="J24" s="24"/>
      <c r="K24" s="23"/>
      <c r="O24" s="19"/>
    </row>
    <row r="25" spans="3:15" ht="18.5" x14ac:dyDescent="0.45">
      <c r="C25" s="20" t="s">
        <v>20</v>
      </c>
      <c r="D25" t="s">
        <v>72</v>
      </c>
      <c r="G25" s="25" t="s">
        <v>71</v>
      </c>
      <c r="H25" s="26">
        <v>65000</v>
      </c>
      <c r="J25" s="25" t="s">
        <v>71</v>
      </c>
      <c r="K25" s="26">
        <v>65000</v>
      </c>
      <c r="O25" s="20" t="s">
        <v>95</v>
      </c>
    </row>
    <row r="26" spans="3:15" ht="18.5" hidden="1" x14ac:dyDescent="0.45">
      <c r="C26" s="19"/>
      <c r="G26" s="24"/>
      <c r="H26" s="23"/>
      <c r="J26" s="24"/>
      <c r="K26" s="23"/>
      <c r="O26" s="19"/>
    </row>
    <row r="27" spans="3:15" ht="18.5" x14ac:dyDescent="0.45">
      <c r="C27" s="20" t="s">
        <v>73</v>
      </c>
      <c r="D27" s="21">
        <v>50000</v>
      </c>
      <c r="G27" s="25" t="s">
        <v>20</v>
      </c>
      <c r="H27" s="26">
        <v>4986</v>
      </c>
      <c r="J27" s="25" t="s">
        <v>20</v>
      </c>
      <c r="K27" s="23" t="s">
        <v>72</v>
      </c>
      <c r="O27" s="20" t="s">
        <v>83</v>
      </c>
    </row>
    <row r="28" spans="3:15" ht="18.5" hidden="1" x14ac:dyDescent="0.45">
      <c r="C28" s="19"/>
      <c r="G28" s="24"/>
      <c r="H28" s="23"/>
      <c r="J28" s="24"/>
      <c r="K28" s="23"/>
    </row>
    <row r="29" spans="3:15" ht="18.5" x14ac:dyDescent="0.45">
      <c r="C29" s="20" t="s">
        <v>24</v>
      </c>
      <c r="D29" s="21">
        <v>30000</v>
      </c>
      <c r="G29" s="25" t="s">
        <v>73</v>
      </c>
      <c r="H29" s="26">
        <v>50000</v>
      </c>
      <c r="J29" s="25" t="s">
        <v>73</v>
      </c>
      <c r="K29" s="26">
        <v>50000</v>
      </c>
      <c r="O29" s="28" t="s">
        <v>84</v>
      </c>
    </row>
    <row r="30" spans="3:15" ht="18.5" hidden="1" x14ac:dyDescent="0.45">
      <c r="C30" s="19"/>
      <c r="G30" s="24"/>
      <c r="H30" s="23"/>
      <c r="J30" s="24"/>
      <c r="K30" s="23"/>
      <c r="O30" s="19"/>
    </row>
    <row r="31" spans="3:15" ht="18.5" x14ac:dyDescent="0.45">
      <c r="C31" s="20" t="s">
        <v>25</v>
      </c>
      <c r="D31" s="21">
        <v>14404</v>
      </c>
      <c r="G31" s="25" t="s">
        <v>24</v>
      </c>
      <c r="H31" s="26">
        <v>30000</v>
      </c>
      <c r="J31" s="25" t="s">
        <v>24</v>
      </c>
      <c r="K31" s="26">
        <v>30000</v>
      </c>
      <c r="O31" s="20" t="s">
        <v>85</v>
      </c>
    </row>
    <row r="32" spans="3:15" ht="18.5" x14ac:dyDescent="0.45">
      <c r="G32" s="25" t="s">
        <v>25</v>
      </c>
      <c r="H32" s="26">
        <v>14404</v>
      </c>
      <c r="J32" s="25" t="s">
        <v>25</v>
      </c>
      <c r="K32" s="26">
        <v>14404</v>
      </c>
      <c r="O32" s="19"/>
    </row>
    <row r="33" spans="8:15" x14ac:dyDescent="0.35">
      <c r="O33" s="20" t="s">
        <v>86</v>
      </c>
    </row>
    <row r="34" spans="8:15" x14ac:dyDescent="0.35">
      <c r="O34" s="19"/>
    </row>
    <row r="35" spans="8:15" x14ac:dyDescent="0.35">
      <c r="H35" s="21">
        <f>SUM(H27:H32)</f>
        <v>99390</v>
      </c>
      <c r="O35" s="20" t="s">
        <v>87</v>
      </c>
    </row>
    <row r="36" spans="8:15" x14ac:dyDescent="0.35">
      <c r="H36" s="21">
        <f>SUM(H19:H25)</f>
        <v>99390</v>
      </c>
      <c r="O36" s="19"/>
    </row>
    <row r="37" spans="8:15" x14ac:dyDescent="0.35">
      <c r="O37" s="29"/>
    </row>
    <row r="39" spans="8:15" ht="16" x14ac:dyDescent="0.35">
      <c r="O39" s="28" t="s">
        <v>88</v>
      </c>
    </row>
    <row r="40" spans="8:15" x14ac:dyDescent="0.35">
      <c r="O40" s="19"/>
    </row>
    <row r="41" spans="8:15" x14ac:dyDescent="0.35">
      <c r="O41" s="20" t="s">
        <v>89</v>
      </c>
    </row>
    <row r="42" spans="8:15" x14ac:dyDescent="0.35">
      <c r="O42" s="19"/>
    </row>
    <row r="43" spans="8:15" x14ac:dyDescent="0.35">
      <c r="O43" s="20" t="s">
        <v>90</v>
      </c>
    </row>
    <row r="44" spans="8:15" x14ac:dyDescent="0.35">
      <c r="O44" s="19"/>
    </row>
    <row r="45" spans="8:15" x14ac:dyDescent="0.35">
      <c r="O45" s="20" t="s">
        <v>91</v>
      </c>
    </row>
    <row r="46" spans="8:15" x14ac:dyDescent="0.35">
      <c r="O46" s="19"/>
    </row>
    <row r="47" spans="8:15" x14ac:dyDescent="0.35">
      <c r="O47" s="20" t="s">
        <v>92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Case</vt:lpstr>
      <vt:lpstr>Financial Statement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EAZI</dc:creator>
  <cp:lastModifiedBy>EAZI</cp:lastModifiedBy>
  <dcterms:created xsi:type="dcterms:W3CDTF">2026-03-31T11:48:14Z</dcterms:created>
  <dcterms:modified xsi:type="dcterms:W3CDTF">2026-04-09T04:46:27Z</dcterms:modified>
</cp:coreProperties>
</file>